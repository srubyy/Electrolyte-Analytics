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1_Inward" sheetId="1" r:id="rId4"/>
    <sheet state="visible" name="Step2_Segregation" sheetId="2" r:id="rId5"/>
    <sheet state="visible" name="Step3_Programming" sheetId="3" r:id="rId6"/>
    <sheet state="visible" name="Step4_1st Testing" sheetId="4" r:id="rId7"/>
    <sheet state="visible" name="Step5_Debug" sheetId="5" r:id="rId8"/>
    <sheet state="visible" name="Step6_Entry" sheetId="6" r:id="rId9"/>
    <sheet state="visible" name="Step7_Cleaning" sheetId="7" r:id="rId10"/>
    <sheet state="visible" name="Step8_QC_After_Cleaning" sheetId="8" r:id="rId11"/>
    <sheet state="visible" name="Step9_Marking_Coating" sheetId="9" r:id="rId12"/>
    <sheet state="visible" name="Step10_Final_Testing" sheetId="10" r:id="rId13"/>
    <sheet state="visible" name="Step11_Packing" sheetId="11" r:id="rId14"/>
    <sheet state="visible" name="Step12_Final Entry" sheetId="12" r:id="rId15"/>
    <sheet state="visible" name="Dashboard" sheetId="13" r:id="rId16"/>
    <sheet state="visible" name="Data Validation" sheetId="14" r:id="rId17"/>
  </sheets>
  <definedNames>
    <definedName hidden="1" localSheetId="1" name="_xlnm._FilterDatabase">Step2_Segregation!$A$1:$J$62</definedName>
    <definedName hidden="1" localSheetId="3" name="_xlnm._FilterDatabase">'Step4_1st Testing'!$A$1:$I$106</definedName>
    <definedName hidden="1" localSheetId="4" name="_xlnm._FilterDatabase">Step5_Debug!$A$1:$J$264</definedName>
    <definedName hidden="1" localSheetId="5" name="_xlnm._FilterDatabase">Step6_Entry!$A$1:$H$208</definedName>
    <definedName hidden="1" localSheetId="9" name="_xlnm._FilterDatabase">Step10_Final_Testing!$A$1:$I$163</definedName>
    <definedName hidden="1" localSheetId="13" name="_xlnm._FilterDatabase">'Data Validation'!$B$2:$C$16</definedName>
  </definedNames>
  <calcPr/>
  <pivotCaches>
    <pivotCache cacheId="0" r:id="rId18"/>
    <pivotCache cacheId="1" r:id="rId19"/>
  </pivotCaches>
</workbook>
</file>

<file path=xl/sharedStrings.xml><?xml version="1.0" encoding="utf-8"?>
<sst xmlns="http://schemas.openxmlformats.org/spreadsheetml/2006/main" count="3662" uniqueCount="232">
  <si>
    <t>Date</t>
  </si>
  <si>
    <t>Month</t>
  </si>
  <si>
    <t>In_Lot</t>
  </si>
  <si>
    <t>Aging</t>
  </si>
  <si>
    <t>PCB Type</t>
  </si>
  <si>
    <t>Quantity Received</t>
  </si>
  <si>
    <t>Operator Name</t>
  </si>
  <si>
    <t>Atomberg quantity</t>
  </si>
  <si>
    <t>shortage</t>
  </si>
  <si>
    <t>Lot 10</t>
  </si>
  <si>
    <t>Lot 72</t>
  </si>
  <si>
    <t xml:space="preserve"> GV3 Digital PCB</t>
  </si>
  <si>
    <t>Rahul gupta</t>
  </si>
  <si>
    <t>7pcb</t>
  </si>
  <si>
    <t xml:space="preserve"> GV2 Remote Main PCB</t>
  </si>
  <si>
    <t>GV4 Studio+ Remote PCB</t>
  </si>
  <si>
    <t>2+ pcb</t>
  </si>
  <si>
    <t>GV3 Power PCB</t>
  </si>
  <si>
    <t>Repairable Quantity</t>
  </si>
  <si>
    <t>Scrap Quantity</t>
  </si>
  <si>
    <t>Quantity Inspected</t>
  </si>
  <si>
    <t>Lot 71</t>
  </si>
  <si>
    <t>Amit ghabale</t>
  </si>
  <si>
    <t xml:space="preserve">Mayuri </t>
  </si>
  <si>
    <t>GV4 Ozeo Remote PCB</t>
  </si>
  <si>
    <t xml:space="preserve">vijay screw open </t>
  </si>
  <si>
    <t>Lot 73</t>
  </si>
  <si>
    <t>All</t>
  </si>
  <si>
    <t xml:space="preserve"> GV2 Regulator</t>
  </si>
  <si>
    <t>OLD BARCODE</t>
  </si>
  <si>
    <t>GV3 Smart PCB</t>
  </si>
  <si>
    <t>GV4 Alpha Regulator PCB</t>
  </si>
  <si>
    <t>Vijay kumar</t>
  </si>
  <si>
    <t>GV3 power 6 screw open and segregation prajkta and mauri</t>
  </si>
  <si>
    <t xml:space="preserve">GV3 power 6 screw open and segregation </t>
  </si>
  <si>
    <t>Lot 74</t>
  </si>
  <si>
    <t>dadasaheb</t>
  </si>
  <si>
    <t>Akash prasad</t>
  </si>
  <si>
    <t>amit and mayuri</t>
  </si>
  <si>
    <t>old barcode</t>
  </si>
  <si>
    <t>75/76</t>
  </si>
  <si>
    <t>STM PCB =440 Nuvoton PCB =404 Regular PCB =124</t>
  </si>
  <si>
    <t>screw open @Mayuri Elc @nilamdhanawade Elc @~King____Dadasaheb____0001</t>
  </si>
  <si>
    <t>prajakta</t>
  </si>
  <si>
    <t>and rahul Gv3 power pcb 6 screw open</t>
  </si>
  <si>
    <t>and prajkta Gv3 power pcb 6 screw open</t>
  </si>
  <si>
    <t xml:space="preserve">Poonam lokhande </t>
  </si>
  <si>
    <t>with nilam, prajkta,amit</t>
  </si>
  <si>
    <t>prajkta and amit</t>
  </si>
  <si>
    <t>Dadasaheb</t>
  </si>
  <si>
    <t>with rahul</t>
  </si>
  <si>
    <t>WITH PRAJKTA AND DADA SAHEB</t>
  </si>
  <si>
    <t>with mayuri</t>
  </si>
  <si>
    <t>Prajkta Sutar</t>
  </si>
  <si>
    <t>with @Mayuri Elc @nilamdhanawade Elc</t>
  </si>
  <si>
    <t>Code Ok</t>
  </si>
  <si>
    <t>Code Not Ok</t>
  </si>
  <si>
    <t>Total PCBs</t>
  </si>
  <si>
    <t>Swarupa Vishwakarma</t>
  </si>
  <si>
    <t>Nilam dhanawade</t>
  </si>
  <si>
    <t>Quantity Passed (OK)</t>
  </si>
  <si>
    <t>Quantity Failed</t>
  </si>
  <si>
    <t>Quantity Tested</t>
  </si>
  <si>
    <t>Remark</t>
  </si>
  <si>
    <t>debug testing pcb</t>
  </si>
  <si>
    <t>RAVINA G</t>
  </si>
  <si>
    <t>Quantity Debug OK</t>
  </si>
  <si>
    <t>Critical Quantity</t>
  </si>
  <si>
    <t>Scrap PCBs</t>
  </si>
  <si>
    <t>Total Debug Quantity</t>
  </si>
  <si>
    <t>Gv2 QC reparing pcb = 350</t>
  </si>
  <si>
    <t>Gv4 QC reparing ok pcb = 96</t>
  </si>
  <si>
    <t>Gv2 QC reparing ok pcb = 135</t>
  </si>
  <si>
    <t>Gv3 digital QC reparing pcb ok = 32</t>
  </si>
  <si>
    <t>Gv2 QC reparing ok pcb =23</t>
  </si>
  <si>
    <t>Gv3 digital QC Reparing ok pcb = 28</t>
  </si>
  <si>
    <t>Gv4 Reguleter QC reparing ok pcb = 65</t>
  </si>
  <si>
    <t>Gv3 power QC reparing ok pcb = 36</t>
  </si>
  <si>
    <t>Gv3 power debug +testing</t>
  </si>
  <si>
    <t>Debag testing ok</t>
  </si>
  <si>
    <t>LORA soldring pcb ok = 54</t>
  </si>
  <si>
    <t>LORA soldring pcb ok = 66</t>
  </si>
  <si>
    <t>Gv2. 5 QC repering = 15</t>
  </si>
  <si>
    <t>Gv3 digital repering= 31</t>
  </si>
  <si>
    <t xml:space="preserve">debug+testing </t>
  </si>
  <si>
    <t>LORA soldring pcb ok = 71</t>
  </si>
  <si>
    <t>LORA soldring pcb ok = 70</t>
  </si>
  <si>
    <t>LORA soldring pcb ok = 39</t>
  </si>
  <si>
    <t>QC Foulty repairing</t>
  </si>
  <si>
    <t>LOT73</t>
  </si>
  <si>
    <t>QC repairing</t>
  </si>
  <si>
    <t>qc repair</t>
  </si>
  <si>
    <t>Qc repair</t>
  </si>
  <si>
    <t>LORA  PCb IC soldring  ok = 150</t>
  </si>
  <si>
    <t xml:space="preserve"> Qc repair</t>
  </si>
  <si>
    <t>Mohini</t>
  </si>
  <si>
    <t>Entry Count</t>
  </si>
  <si>
    <t xml:space="preserve">PCB Status </t>
  </si>
  <si>
    <t>QC Repairing</t>
  </si>
  <si>
    <t>scrap pcb</t>
  </si>
  <si>
    <t>SUM of Entry Count</t>
  </si>
  <si>
    <t xml:space="preserve"> Total</t>
  </si>
  <si>
    <t>1 st level</t>
  </si>
  <si>
    <t>1 st level Total</t>
  </si>
  <si>
    <t>cleaning pcb</t>
  </si>
  <si>
    <t>cleaning pcb Total</t>
  </si>
  <si>
    <t>debug pcb</t>
  </si>
  <si>
    <t>debug pcb Total</t>
  </si>
  <si>
    <t>QC Repairing Total</t>
  </si>
  <si>
    <t>scrap pcb Total</t>
  </si>
  <si>
    <t>Grand Total</t>
  </si>
  <si>
    <t>Dec-24</t>
  </si>
  <si>
    <t>Dec-24 Total</t>
  </si>
  <si>
    <t>Feb-25</t>
  </si>
  <si>
    <t>Feb-25 Total</t>
  </si>
  <si>
    <t>Jan-25</t>
  </si>
  <si>
    <t>Jan-25 Total</t>
  </si>
  <si>
    <t>Nov-24</t>
  </si>
  <si>
    <t>Nov-24 Total</t>
  </si>
  <si>
    <t>Quantity Cleaned</t>
  </si>
  <si>
    <t>QC Reject</t>
  </si>
  <si>
    <t>LORA PCB cleaning ok qty=200</t>
  </si>
  <si>
    <t>prajkta</t>
  </si>
  <si>
    <t>Quantity Passed</t>
  </si>
  <si>
    <t xml:space="preserve">Total Quantity </t>
  </si>
  <si>
    <t xml:space="preserve">SUM of Total Quantity </t>
  </si>
  <si>
    <t>Lora PCB QC ok = 200</t>
  </si>
  <si>
    <t>mayuri and dadasaheb</t>
  </si>
  <si>
    <t>amit g</t>
  </si>
  <si>
    <t>spray and dot</t>
  </si>
  <si>
    <t>cleaning</t>
  </si>
  <si>
    <t>Quantity Marked &amp; Coated</t>
  </si>
  <si>
    <t>Gv2/Gv3/gv4</t>
  </si>
  <si>
    <t>All pcb</t>
  </si>
  <si>
    <t>amit</t>
  </si>
  <si>
    <t>Gv2 QC faulty  Repairing testing ok</t>
  </si>
  <si>
    <t>Gv3 powar pcb  Repairing ok</t>
  </si>
  <si>
    <t>Gv3 powar black</t>
  </si>
  <si>
    <t>Gv3 powar white</t>
  </si>
  <si>
    <t xml:space="preserve">black </t>
  </si>
  <si>
    <t>white</t>
  </si>
  <si>
    <t>repair</t>
  </si>
  <si>
    <t>Bubble Packed</t>
  </si>
  <si>
    <t>Box Packed</t>
  </si>
  <si>
    <t>Out_Lot</t>
  </si>
  <si>
    <t>510 pcb screw and mountaim plate open</t>
  </si>
  <si>
    <t>210 pcbscrew and mountain plate open</t>
  </si>
  <si>
    <t>Gv3 power 3 screw open &amp; segregation qty_313</t>
  </si>
  <si>
    <t>Gv4 pcb 3 screw open &amp; segregation qty_241</t>
  </si>
  <si>
    <t>Gv3 power 3 screw open &amp; segregation qty_317</t>
  </si>
  <si>
    <t>Gv3 power 3 screw open &amp; segregation qty_309</t>
  </si>
  <si>
    <t>Gv3 power 3 screw open qty_142</t>
  </si>
  <si>
    <t>Gv3 digital pcb box making qty_240</t>
  </si>
  <si>
    <t>3065 pcb box packing all employee</t>
  </si>
  <si>
    <t>Amazon Box Packing PCB =3300 Amit/rahul/Aakash</t>
  </si>
  <si>
    <t>Gv2 Box making qty 450</t>
  </si>
  <si>
    <t>Gv3 Box  making _600</t>
  </si>
  <si>
    <t>Nov</t>
  </si>
  <si>
    <t>193 Gv3 power 3 screw fitting</t>
  </si>
  <si>
    <t>Gv3 power maunting plate &amp; 6 screw fitting qty_800</t>
  </si>
  <si>
    <t>Gv2 pcb box making qty_417</t>
  </si>
  <si>
    <t>GV3 power 3 screw Fitting qty_90</t>
  </si>
  <si>
    <t>Gv3 power box making qty_750</t>
  </si>
  <si>
    <t>Gv3 digital box making qty_275</t>
  </si>
  <si>
    <t>Gv3 Power PCB Box Packing =1860</t>
  </si>
  <si>
    <t>Gv3 Digital Babble Shit + Box Packing =252</t>
  </si>
  <si>
    <t>Gv2 STM PCB Babble Shit +Box Packing =182</t>
  </si>
  <si>
    <t>Gv2 Nuvton PCB Babble Shit + Box Packing =272</t>
  </si>
  <si>
    <t>Gv3 power 6 screw fitting_495 mayuri,prajakta,vijay</t>
  </si>
  <si>
    <t xml:space="preserve"> yellow dot _510</t>
  </si>
  <si>
    <t>LOT 72</t>
  </si>
  <si>
    <t>dec</t>
  </si>
  <si>
    <t>Sprey</t>
  </si>
  <si>
    <t>LOT 73</t>
  </si>
  <si>
    <t>Gv3 power 6 screw fitting</t>
  </si>
  <si>
    <t>Gv2/gv3/ yellow dot qty_840</t>
  </si>
  <si>
    <t>Gv3 power plate, housing &amp; 6 screw fitting qty_700</t>
  </si>
  <si>
    <t>450 box making</t>
  </si>
  <si>
    <t>parjktaand amit</t>
  </si>
  <si>
    <t xml:space="preserve">prajkta </t>
  </si>
  <si>
    <t>mayuri and amit</t>
  </si>
  <si>
    <t>900 box making</t>
  </si>
  <si>
    <t>Gv3 power ok pcb Balck and white sticke</t>
  </si>
  <si>
    <t xml:space="preserve"> Gv3 power pcb 3 screw fitting qty=200</t>
  </si>
  <si>
    <t>Gv 3 power 3 screw opan - 133</t>
  </si>
  <si>
    <t>Gv3 power 3 screw fitting qty=130</t>
  </si>
  <si>
    <t>Gv3 power 3 screw open and segregation qty=231</t>
  </si>
  <si>
    <t>Gv3 power 3 screw fitting pcb qty=125</t>
  </si>
  <si>
    <t>Gv3 power pcb 3 screw fitting, duble tape &amp; black tape qty=250</t>
  </si>
  <si>
    <t>Gv2. 5 , gv3 power gv4  sprey,dot=400 prajkta and mayuri</t>
  </si>
  <si>
    <t>Gv 3 digital 12.2 marking</t>
  </si>
  <si>
    <t>jan</t>
  </si>
  <si>
    <t>Gv3 power 3 screw fitting qty = 361 
@prajaktasutaar Elc</t>
  </si>
  <si>
    <t xml:space="preserve">
@prajaktasutaar Elc</t>
  </si>
  <si>
    <t>@prajaktasutaar Elc</t>
  </si>
  <si>
    <t xml:space="preserve">Gv3 power tape qty = 250 </t>
  </si>
  <si>
    <t xml:space="preserve">3 Screw opan qty = 270 </t>
  </si>
  <si>
    <t>3 Screw fitting qty = 120</t>
  </si>
  <si>
    <t>3 Screw fitting qty = 120 Screw opan &amp; qty = 480 akas and prajakta</t>
  </si>
  <si>
    <t>amit and prajkta</t>
  </si>
  <si>
    <t xml:space="preserve">@poonam @swarupa vishwakarma2  @prajaktasutaar </t>
  </si>
  <si>
    <t>@prajaktasutaar Elc @ mayuri</t>
  </si>
  <si>
    <t>@prajaktasutaar Elc @~King____Dadasaheb____0001</t>
  </si>
  <si>
    <t>@~King____Dadasaheb____0001 @ mayuri</t>
  </si>
  <si>
    <t>Gv3 power 3 screw open qty=100</t>
  </si>
  <si>
    <t>Gv3 Powar 3 Screw Open =103</t>
  </si>
  <si>
    <t>Gv3 power 3 screw open qty=650 and prajkta</t>
  </si>
  <si>
    <t>Gv3 Powar PCB 3 screw Opne =458 @Mayuri Elc @nilamdhanawade Elc @prajaktasutaar Elc</t>
  </si>
  <si>
    <t xml:space="preserve"> Gv3 Powar 3 Skru Housing Fitting =230  mayuri</t>
  </si>
  <si>
    <t>Gv3 Powar 3 Skri Housing Fitting =324 prajkta and nilam</t>
  </si>
  <si>
    <t>prajkta Gv 3 power Screw fitting= 212</t>
  </si>
  <si>
    <t xml:space="preserve">prajkta   </t>
  </si>
  <si>
    <t>Gv3 power  ok pcn 6 screw feeting = 323</t>
  </si>
  <si>
    <t xml:space="preserve"> Gv3 power  ok pcb 3 screw + plet feeting  = 639 with prjakta and nilam</t>
  </si>
  <si>
    <t>with swarupa and mayuri</t>
  </si>
  <si>
    <t>Gv3 power 3 screw fitting qty=290</t>
  </si>
  <si>
    <t>Gv3 power 3 screw fitting qty=662 with nilam d</t>
  </si>
  <si>
    <t>Gv3 Powar Black Tep &amp; Dabble Tep =575</t>
  </si>
  <si>
    <t>wth akash Gv3 power 3 screw open</t>
  </si>
  <si>
    <t>Gv 3 power 3mm Tep =935</t>
  </si>
  <si>
    <t>Gv3 pcb box making qty=120</t>
  </si>
  <si>
    <t>WITH MAYURI</t>
  </si>
  <si>
    <t>with akash</t>
  </si>
  <si>
    <t>Gv3 power 3 Screw fetting and 3 MM tep = 736</t>
  </si>
  <si>
    <t>6 scrap open qty=560 with dadasaheb</t>
  </si>
  <si>
    <t>OK PCB</t>
  </si>
  <si>
    <t>Metric</t>
  </si>
  <si>
    <t>Value</t>
  </si>
  <si>
    <r>
      <rPr>
        <rFont val="Times New Roman"/>
        <color theme="1"/>
        <sz val="7.0"/>
      </rPr>
      <t xml:space="preserve"> </t>
    </r>
    <r>
      <rPr>
        <rFont val="Calibri"/>
        <color theme="1"/>
        <sz val="11.0"/>
      </rPr>
      <t>GV2 Regulator</t>
    </r>
  </si>
  <si>
    <t>Lav sharma</t>
  </si>
  <si>
    <r>
      <rPr>
        <rFont val="Times New Roman"/>
        <color theme="1"/>
        <sz val="7.0"/>
      </rPr>
      <t xml:space="preserve"> </t>
    </r>
    <r>
      <rPr>
        <rFont val="Calibri"/>
        <color theme="1"/>
        <sz val="11.0"/>
      </rPr>
      <t>GV3 Digital PCB</t>
    </r>
  </si>
  <si>
    <r>
      <rPr>
        <rFont val="Times New Roman"/>
        <color theme="1"/>
        <sz val="7.0"/>
      </rPr>
      <t xml:space="preserve"> </t>
    </r>
    <r>
      <rPr>
        <rFont val="Calibri"/>
        <color theme="1"/>
        <sz val="11.0"/>
      </rPr>
      <t>GV2 Remote Main PCB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</si>
</sst>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/m/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7.0"/>
      <color theme="1"/>
      <name val="Times New Roman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readingOrder="0"/>
    </xf>
    <xf borderId="0" fillId="2" fontId="4" numFmtId="0" xfId="0" applyFont="1"/>
    <xf borderId="0" fillId="2" fontId="4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4" numFmtId="0" xfId="0" applyFont="1"/>
    <xf borderId="0" fillId="3" fontId="3" numFmtId="164" xfId="0" applyAlignment="1" applyFill="1" applyFont="1" applyNumberFormat="1">
      <alignment readingOrder="0"/>
    </xf>
    <xf borderId="0" fillId="3" fontId="4" numFmtId="0" xfId="0" applyFont="1"/>
    <xf borderId="0" fillId="3" fontId="4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10" xfId="0" applyFont="1" applyNumberFormat="1"/>
    <xf borderId="1" fillId="0" fontId="1" numFmtId="0" xfId="0" applyAlignment="1" applyBorder="1" applyFont="1">
      <alignment horizontal="left" readingOrder="0" vertical="top"/>
    </xf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4" numFmtId="165" xfId="0" applyFont="1" applyNumberFormat="1"/>
    <xf borderId="1" fillId="0" fontId="1" numFmtId="0" xfId="0" applyAlignment="1" applyBorder="1" applyFont="1">
      <alignment horizontal="left" vertical="top"/>
    </xf>
    <xf borderId="0" fillId="0" fontId="3" numFmtId="164" xfId="0" applyFont="1" applyNumberFormat="1"/>
    <xf borderId="0" fillId="0" fontId="4" numFmtId="166" xfId="0" applyAlignment="1" applyFont="1" applyNumberFormat="1">
      <alignment readingOrder="0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08" sheet="Step6_Entry"/>
  </cacheSource>
  <cacheFields>
    <cacheField name="Date" numFmtId="164">
      <sharedItems containsSemiMixedTypes="0" containsDate="1" containsString="0">
        <d v="2024-11-09T00:00:00Z"/>
        <d v="2024-11-11T00:00:00Z"/>
        <d v="2024-11-13T00:00:00Z"/>
        <d v="2024-11-15T00:00:00Z"/>
        <d v="2024-11-16T00:00:00Z"/>
        <d v="2024-11-18T00:00:00Z"/>
        <d v="2024-11-19T00:00:00Z"/>
        <d v="2024-11-23T00:00:00Z"/>
        <d v="2024-11-26T00:00:00Z"/>
        <d v="2024-11-27T00:00:00Z"/>
        <d v="2024-11-28T00:00:00Z"/>
        <d v="2024-11-29T00:00:00Z"/>
        <d v="2024-12-02T00:00:00Z"/>
        <d v="2024-12-03T00:00:00Z"/>
        <d v="2024-12-04T00:00:00Z"/>
        <d v="2024-12-05T00:00:00Z"/>
        <d v="2024-12-06T00:00:00Z"/>
        <d v="2024-12-07T00:00:00Z"/>
        <d v="2024-12-09T00:00:00Z"/>
        <d v="2024-12-10T00:00:00Z"/>
        <d v="2024-12-11T00:00:00Z"/>
        <d v="2024-12-12T00:00:00Z"/>
        <d v="2024-12-13T00:00:00Z"/>
        <d v="2024-12-14T00:00:00Z"/>
        <d v="2024-12-16T00:00:00Z"/>
        <d v="2024-12-20T00:00:00Z"/>
        <d v="2024-12-21T00:00:00Z"/>
        <d v="2024-12-24T00:00:00Z"/>
        <d v="2024-12-26T00:00:00Z"/>
        <d v="2024-12-28T00:00:00Z"/>
        <d v="2024-12-31T00:00:00Z"/>
        <d v="2025-01-02T00:00:00Z"/>
        <d v="2025-01-03T00:00:00Z"/>
        <d v="2025-01-04T00:00:00Z"/>
        <d v="2025-01-06T00:00:00Z"/>
        <d v="2025-01-07T00:00:00Z"/>
        <d v="2025-01-08T00:00:00Z"/>
        <d v="2025-01-09T00:00:00Z"/>
        <d v="2025-01-10T00:00:00Z"/>
        <d v="2025-01-11T00:00:00Z"/>
        <d v="2025-01-13T00:00:00Z"/>
        <d v="2025-01-14T00:00:00Z"/>
        <d v="2025-01-15T00:00:00Z"/>
        <d v="2025-01-16T00:00:00Z"/>
        <d v="2025-01-17T00:00:00Z"/>
        <d v="2025-01-18T00:00:00Z"/>
        <d v="2025-01-20T00:00:00Z"/>
        <d v="2025-01-21T00:00:00Z"/>
        <d v="2025-01-22T00:00:00Z"/>
        <d v="2025-01-23T00:00:00Z"/>
        <d v="2025-01-24T00:00:00Z"/>
        <d v="2025-01-25T00:00:00Z"/>
        <d v="2025-01-27T00:00:00Z"/>
        <d v="2025-01-30T00:00:00Z"/>
        <d v="2025-02-01T00:00:00Z"/>
        <d v="2025-02-03T00:00:00Z"/>
        <d v="2025-02-04T00:00:00Z"/>
        <d v="2025-02-08T00:00:00Z"/>
        <d v="2025-02-11T00:00:00Z"/>
        <d v="2025-02-12T00:00:00Z"/>
        <d v="2025-02-13T00:00:00Z"/>
        <d v="2025-02-14T00:00:00Z"/>
        <d v="2025-02-15T00:00:00Z"/>
        <d v="2025-02-17T00:00:00Z"/>
        <d v="2025-02-18T00:00:00Z"/>
        <d v="2025-02-19T00:00:00Z"/>
        <d v="2025-02-20T00:00:00Z"/>
        <d v="2025-02-21T00:00:00Z"/>
        <d v="2025-02-22T00:00:00Z"/>
        <d v="2025-02-24T00:00:00Z"/>
        <d v="2025-02-27T00:00:00Z"/>
      </sharedItems>
    </cacheField>
    <cacheField name="Month" numFmtId="0">
      <sharedItems>
        <s v="Nov-24"/>
        <s v="Dec-24"/>
        <s v="Jan-25"/>
        <s v="Feb-25"/>
      </sharedItems>
    </cacheField>
    <cacheField name="In_Lot">
      <sharedItems containsBlank="1" containsMixedTypes="1" containsNumber="1" containsInteger="1">
        <m/>
        <n v="72.0"/>
        <n v="73.0"/>
        <n v="74.0"/>
        <s v="75/76"/>
      </sharedItems>
    </cacheField>
    <cacheField name="PCB Type" numFmtId="0">
      <sharedItems>
        <s v=" GV2 Remote Main PCB"/>
        <s v=" GV3 Digital PCB"/>
        <s v="GV3 Power PCB"/>
        <s v="GV4 Studio+ Remote PCB"/>
        <s v=" GV2 Regulator"/>
        <s v="GV4 Alpha Regulator PCB"/>
        <s v="GV4 Ozeo Remote PCB"/>
      </sharedItems>
    </cacheField>
    <cacheField name="Entry Count" numFmtId="0">
      <sharedItems containsString="0" containsBlank="1" containsNumber="1" containsInteger="1">
        <n v="235.0"/>
        <n v="474.0"/>
        <m/>
        <n v="525.0"/>
        <n v="150.0"/>
        <n v="200.0"/>
        <n v="573.0"/>
        <n v="683.0"/>
        <n v="476.0"/>
        <n v="134.0"/>
        <n v="169.0"/>
        <n v="190.0"/>
        <n v="56.0"/>
        <n v="22.0"/>
        <n v="51.0"/>
        <n v="37.0"/>
        <n v="155.0"/>
        <n v="330.0"/>
        <n v="30.0"/>
        <n v="411.0"/>
        <n v="128.0"/>
        <n v="180.0"/>
        <n v="54.0"/>
        <n v="122.0"/>
        <n v="183.0"/>
        <n v="402.0"/>
        <n v="60.0"/>
        <n v="182.0"/>
        <n v="48.0"/>
        <n v="202.0"/>
        <n v="25.0"/>
        <n v="74.0"/>
        <n v="244.0"/>
        <n v="49.0"/>
        <n v="188.0"/>
        <n v="89.0"/>
        <n v="20.0"/>
        <n v="62.0"/>
        <n v="133.0"/>
        <n v="209.0"/>
        <n v="160.0"/>
        <n v="286.0"/>
        <n v="236.0"/>
        <n v="329.0"/>
        <n v="72.0"/>
        <n v="132.0"/>
        <n v="86.0"/>
        <n v="14.0"/>
        <n v="118.0"/>
        <n v="154.0"/>
        <n v="116.0"/>
        <n v="359.0"/>
        <n v="39.0"/>
        <n v="159.0"/>
        <n v="257.0"/>
        <n v="480.0"/>
        <n v="283.0"/>
        <n v="351.0"/>
        <n v="252.0"/>
        <n v="356.0"/>
        <n v="874.0"/>
        <n v="52.0"/>
        <n v="46.0"/>
        <n v="104.0"/>
        <n v="410.0"/>
        <n v="365.0"/>
        <n v="250.0"/>
        <n v="340.0"/>
        <n v="547.0"/>
        <n v="87.0"/>
        <n v="221.0"/>
        <n v="350.0"/>
        <n v="383.0"/>
        <n v="177.0"/>
        <n v="536.0"/>
        <n v="281.0"/>
        <n v="115.0"/>
        <n v="76.0"/>
        <n v="97.0"/>
        <n v="860.0"/>
        <n v="100.0"/>
        <n v="207.0"/>
        <n v="848.0"/>
        <n v="203.0"/>
        <n v="8.0"/>
        <n v="70.0"/>
        <n v="36.0"/>
        <n v="175.0"/>
        <n v="344.0"/>
        <n v="211.0"/>
        <n v="326.0"/>
        <n v="181.0"/>
        <n v="105.0"/>
        <n v="245.0"/>
        <n v="900.0"/>
        <n v="65.0"/>
        <n v="90.0"/>
        <n v="342.0"/>
        <n v="140.0"/>
        <n v="438.0"/>
        <n v="142.0"/>
        <n v="795.0"/>
        <n v="5.0"/>
        <n v="119.0"/>
        <n v="156.0"/>
        <n v="101.0"/>
        <n v="338.0"/>
        <n v="186.0"/>
        <n v="102.0"/>
        <n v="220.0"/>
        <n v="201.0"/>
        <n v="11.0"/>
        <n v="267.0"/>
        <n v="604.0"/>
        <n v="635.0"/>
        <n v="294.0"/>
        <n v="210.0"/>
        <n v="32.0"/>
        <n v="153.0"/>
        <n v="170.0"/>
        <n v="347.0"/>
        <n v="368.0"/>
        <n v="24.0"/>
        <n v="18.0"/>
        <n v="157.0"/>
        <n v="450.0"/>
        <n v="121.0"/>
        <n v="75.0"/>
        <n v="130.0"/>
        <n v="135.0"/>
        <n v="225.0"/>
        <n v="403.0"/>
        <n v="806.0"/>
        <n v="264.0"/>
        <n v="669.0"/>
        <n v="420.0"/>
        <n v="77.0"/>
        <n v="85.0"/>
        <n v="224.0"/>
        <n v="145.0"/>
        <n v="743.0"/>
        <n v="253.0"/>
        <n v="19.0"/>
        <n v="373.0"/>
        <n v="110.0"/>
        <n v="94.0"/>
        <n v="31.0"/>
        <n v="354.0"/>
        <n v="334.0"/>
        <n v="834.0"/>
        <n v="27.0"/>
        <n v="514.0"/>
      </sharedItems>
    </cacheField>
    <cacheField name="PCB Status " numFmtId="0">
      <sharedItems containsBlank="1">
        <s v="QC Repairing"/>
        <s v="scrap pcb"/>
        <m/>
        <s v="debug pcb"/>
        <s v="1 st level"/>
        <s v="cleaning pcb"/>
      </sharedItems>
    </cacheField>
    <cacheField name="Operator Name" numFmtId="0">
      <sharedItems>
        <s v="Rahul gupta"/>
        <s v="Amit ghabal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38" sheet="Step8_QC_After_Cleaning"/>
  </cacheSource>
  <cacheFields>
    <cacheField name="Date" numFmtId="164">
      <sharedItems containsSemiMixedTypes="0" containsDate="1" containsString="0">
        <d v="2024-11-04T00:00:00Z"/>
        <d v="2024-11-06T00:00:00Z"/>
        <d v="2024-11-07T00:00:00Z"/>
        <d v="2024-11-11T00:00:00Z"/>
        <d v="2024-11-12T00:00:00Z"/>
        <d v="2024-11-13T00:00:00Z"/>
        <d v="2024-11-14T00:00:00Z"/>
        <d v="2024-11-15T00:00:00Z"/>
        <d v="2024-11-16T00:00:00Z"/>
        <d v="2024-11-18T00:00:00Z"/>
        <d v="2024-11-19T00:00:00Z"/>
        <d v="2024-11-23T00:00:00Z"/>
        <d v="2024-11-26T00:00:00Z"/>
        <d v="2024-11-27T00:00:00Z"/>
        <d v="2024-11-28T00:00:00Z"/>
        <d v="2024-12-02T00:00:00Z"/>
        <d v="2024-12-04T00:00:00Z"/>
        <d v="2024-12-05T00:00:00Z"/>
        <d v="2024-12-06T00:00:00Z"/>
        <d v="2024-12-07T00:00:00Z"/>
        <d v="2024-12-11T00:00:00Z"/>
        <d v="2024-12-13T00:00:00Z"/>
        <d v="2024-12-16T00:00:00Z"/>
        <d v="2024-12-17T00:00:00Z"/>
        <d v="2024-12-21T00:00:00Z"/>
        <d v="2024-12-23T00:00:00Z"/>
        <d v="2024-12-26T00:00:00Z"/>
        <d v="2024-12-28T00:00:00Z"/>
        <d v="2024-12-30T00:00:00Z"/>
        <d v="2024-12-31T00:00:00Z"/>
        <d v="2025-01-03T00:00:00Z"/>
        <d v="2025-01-04T00:00:00Z"/>
        <d v="2025-01-06T00:00:00Z"/>
        <d v="2025-01-07T00:00:00Z"/>
        <d v="2025-01-08T00:00:00Z"/>
        <d v="2025-01-10T00:00:00Z"/>
        <d v="2025-01-11T00:00:00Z"/>
        <d v="2025-01-13T00:00:00Z"/>
        <d v="2025-01-15T00:00:00Z"/>
        <d v="2025-01-16T00:00:00Z"/>
        <d v="2025-01-20T00:00:00Z"/>
        <d v="2025-01-23T00:00:00Z"/>
        <d v="2025-01-22T00:00:00Z"/>
        <d v="2025-01-24T00:00:00Z"/>
        <d v="2025-01-25T00:00:00Z"/>
        <d v="2025-01-30T00:00:00Z"/>
        <d v="2025-02-03T00:00:00Z"/>
        <d v="2025-02-04T00:00:00Z"/>
        <d v="2025-02-05T00:00:00Z"/>
        <d v="2025-02-08T00:00:00Z"/>
        <d v="2025-02-12T00:00:00Z"/>
        <d v="2025-02-13T00:00:00Z"/>
        <d v="2025-02-14T00:00:00Z"/>
        <d v="2025-02-15T00:00:00Z"/>
        <d v="2025-02-17T00:00:00Z"/>
        <d v="2025-02-18T00:00:00Z"/>
        <d v="2025-02-27T00:00:00Z"/>
      </sharedItems>
    </cacheField>
    <cacheField name="Month" numFmtId="0">
      <sharedItems>
        <s v="Nov-24"/>
        <s v="Dec-24"/>
        <s v="Jan-25"/>
        <s v="Feb-25"/>
      </sharedItems>
    </cacheField>
    <cacheField name="In_Lot">
      <sharedItems containsBlank="1" containsMixedTypes="1" containsNumber="1" containsInteger="1">
        <m/>
        <n v="72.0"/>
        <n v="73.0"/>
        <n v="74.0"/>
        <s v="75/76"/>
      </sharedItems>
    </cacheField>
    <cacheField name="PCB Type" numFmtId="0">
      <sharedItems containsBlank="1">
        <s v=" GV2 Remote Main PCB"/>
        <s v="GV4 Studio+ Remote PCB"/>
        <s v=" GV3 Digital PCB"/>
        <s v="GV4 Alpha Regulator PCB"/>
        <s v=" GV2 Regulator"/>
        <s v="GV3 Power PCB"/>
        <m/>
        <s v="GV4 Ozeo Remote PCB"/>
      </sharedItems>
    </cacheField>
    <cacheField name="Quantity Passed" numFmtId="0">
      <sharedItems containsString="0" containsBlank="1" containsNumber="1" containsInteger="1">
        <n v="400.0"/>
        <n v="532.0"/>
        <n v="200.0"/>
        <n v="68.0"/>
        <n v="371.0"/>
        <n v="235.0"/>
        <n v="30.0"/>
        <n v="364.0"/>
        <n v="374.0"/>
        <n v="254.0"/>
        <n v="322.0"/>
        <n v="100.0"/>
        <n v="315.0"/>
        <n v="54.0"/>
        <n v="63.0"/>
        <n v="140.0"/>
        <n v="102.0"/>
        <n v="123.0"/>
        <n v="600.0"/>
        <n v="352.0"/>
        <n v="165.0"/>
        <n v="193.0"/>
        <n v="36.0"/>
        <n v="314.0"/>
        <n v="182.0"/>
        <m/>
        <n v="499.0"/>
        <n v="130.0"/>
        <n v="56.0"/>
        <n v="87.0"/>
        <n v="53.0"/>
        <n v="390.0"/>
        <n v="295.0"/>
        <n v="98.0"/>
        <n v="225.0"/>
        <n v="283.0"/>
        <n v="105.0"/>
        <n v="173.0"/>
        <n v="81.0"/>
        <n v="85.0"/>
        <n v="71.0"/>
        <n v="160.0"/>
        <n v="252.0"/>
        <n v="631.0"/>
        <n v="14.0"/>
        <n v="265.0"/>
        <n v="661.0"/>
        <n v="108.0"/>
        <n v="288.0"/>
        <n v="700.0"/>
        <n v="70.0"/>
        <n v="730.0"/>
        <n v="230.0"/>
        <n v="52.0"/>
        <n v="306.0"/>
        <n v="44.0"/>
        <n v="300.0"/>
        <n v="780.0"/>
        <n v="154.0"/>
        <n v="175.0"/>
        <n v="166.0"/>
        <n v="530.0"/>
        <n v="293.0"/>
        <n v="80.0"/>
        <n v="162.0"/>
        <n v="64.0"/>
        <n v="135.0"/>
        <n v="55.0"/>
        <n v="92.0"/>
        <n v="96.0"/>
        <n v="210.0"/>
        <n v="79.0"/>
        <n v="255.0"/>
        <n v="42.0"/>
        <n v="167.0"/>
        <n v="324.0"/>
        <n v="278.0"/>
        <n v="248.0"/>
        <n v="34.0"/>
        <n v="41.0"/>
        <n v="114.0"/>
        <n v="119.0"/>
        <n v="69.0"/>
        <n v="420.0"/>
        <n v="215.0"/>
        <n v="657.0"/>
        <n v="557.0"/>
        <n v="287.0"/>
        <n v="103.0"/>
        <n v="350.0"/>
        <n v="74.0"/>
        <n v="22.0"/>
        <n v="341.0"/>
        <n v="652.0"/>
        <n v="256.0"/>
        <n v="520.0"/>
        <n v="153.0"/>
        <n v="211.0"/>
        <n v="115.0"/>
        <n v="407.0"/>
        <n v="231.0"/>
        <n v="691.0"/>
      </sharedItems>
    </cacheField>
    <cacheField name="Quantity Failed" numFmtId="0">
      <sharedItems containsString="0" containsBlank="1" containsNumber="1" containsInteger="1">
        <n v="20.0"/>
        <n v="58.0"/>
        <n v="35.0"/>
        <n v="7.0"/>
        <n v="65.0"/>
        <n v="25.0"/>
        <n v="21.0"/>
        <n v="39.0"/>
        <n v="12.0"/>
        <n v="1.0"/>
        <n v="13.0"/>
        <n v="9.0"/>
        <n v="11.0"/>
        <m/>
        <n v="8.0"/>
        <n v="10.0"/>
        <n v="3.0"/>
        <n v="49.0"/>
        <n v="5.0"/>
        <n v="69.0"/>
        <n v="4.0"/>
        <n v="2.0"/>
        <n v="15.0"/>
        <n v="18.0"/>
        <n v="41.0"/>
        <n v="6.0"/>
        <n v="40.0"/>
        <n v="16.0"/>
        <n v="31.0"/>
        <n v="19.0"/>
        <n v="34.0"/>
      </sharedItems>
    </cacheField>
    <cacheField name="Total Quantity " numFmtId="0">
      <sharedItems containsSemiMixedTypes="0" containsString="0" containsNumber="1" containsInteger="1">
        <n v="420.0"/>
        <n v="590.0"/>
        <n v="235.0"/>
        <n v="75.0"/>
        <n v="436.0"/>
        <n v="260.0"/>
        <n v="65.0"/>
        <n v="384.0"/>
        <n v="395.0"/>
        <n v="274.0"/>
        <n v="361.0"/>
        <n v="112.0"/>
        <n v="335.0"/>
        <n v="55.0"/>
        <n v="76.0"/>
        <n v="153.0"/>
        <n v="114.0"/>
        <n v="135.0"/>
        <n v="609.0"/>
        <n v="372.0"/>
        <n v="176.0"/>
        <n v="193.0"/>
        <n v="315.0"/>
        <n v="36.0"/>
        <n v="322.0"/>
        <n v="192.0"/>
        <n v="0.0"/>
        <n v="33.0"/>
        <n v="548.0"/>
        <n v="140.0"/>
        <n v="56.0"/>
        <n v="405.0"/>
        <n v="96.0"/>
        <n v="62.0"/>
        <n v="209.0"/>
        <n v="400.0"/>
        <n v="143.0"/>
        <n v="364.0"/>
        <n v="98.0"/>
        <n v="229.0"/>
        <n v="286.0"/>
        <n v="107.0"/>
        <n v="188.0"/>
        <n v="84.0"/>
        <n v="610.0"/>
        <n v="85.0"/>
        <n v="74.0"/>
        <n v="178.0"/>
        <n v="261.0"/>
        <n v="672.0"/>
        <n v="14.0"/>
        <n v="271.0"/>
        <n v="676.0"/>
        <n v="113.0"/>
        <n v="89.0"/>
        <n v="295.0"/>
        <n v="170.0"/>
        <n v="713.0"/>
        <n v="73.0"/>
        <n v="755.0"/>
        <n v="240.0"/>
        <n v="102.0"/>
        <n v="54.0"/>
        <n v="52.0"/>
        <n v="316.0"/>
        <n v="44.0"/>
        <n v="788.0"/>
        <n v="154.0"/>
        <n v="303.0"/>
        <n v="299.0"/>
        <n v="181.0"/>
        <n v="166.0"/>
        <n v="530.0"/>
        <n v="160.0"/>
        <n v="306.0"/>
        <n v="70.0"/>
        <n v="200.0"/>
        <n v="80.0"/>
        <n v="162.0"/>
        <n v="68.0"/>
        <n v="64.0"/>
        <n v="95.0"/>
        <n v="215.0"/>
        <n v="79.0"/>
        <n v="265.0"/>
        <n v="100.0"/>
        <n v="90.0"/>
        <n v="46.0"/>
        <n v="172.0"/>
        <n v="72.0"/>
        <n v="78.0"/>
        <n v="329.0"/>
        <n v="288.0"/>
        <n v="264.0"/>
        <n v="37.0"/>
        <n v="59.0"/>
        <n v="119.0"/>
        <n v="69.0"/>
        <n v="440.0"/>
        <n v="224.0"/>
        <n v="692.0"/>
        <n v="576.0"/>
        <n v="312.0"/>
        <n v="103.0"/>
        <n v="350.0"/>
        <n v="22.0"/>
        <n v="341.0"/>
        <n v="657.0"/>
        <n v="256.0"/>
        <n v="520.0"/>
        <n v="108.0"/>
        <n v="71.0"/>
        <n v="105.0"/>
        <n v="211.0"/>
        <n v="115.0"/>
        <n v="407.0"/>
        <n v="231.0"/>
        <n v="691.0"/>
      </sharedItems>
    </cacheField>
    <cacheField name="Operator Name" numFmtId="0">
      <sharedItems>
        <s v="Prajkta Sutar"/>
        <s v="Amit ghabale"/>
        <s v="Akash prasad"/>
      </sharedItems>
    </cacheField>
    <cacheField name="Remark" numFmtId="0">
      <sharedItems containsBlank="1">
        <m/>
        <s v="Lora PCB QC ok = 200"/>
        <s v="mayuri and dadasaheb"/>
        <s v="amit g"/>
        <s v="prajkta"/>
        <s v="spray and dot"/>
        <s v="clean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ep6_Entry" cacheId="0" dataCaption="" compact="0" compactData="0">
  <location ref="K3:AW81" firstHeaderRow="0" firstDataRow="2" firstDataCol="2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Month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In_Lo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CB Type" axis="axisCol" compact="0" outline="0" multipleItemSelectionAllowed="1" showAll="0" sortType="ascending">
      <items>
        <item x="4"/>
        <item x="0"/>
        <item x="1"/>
        <item x="2"/>
        <item x="5"/>
        <item x="6"/>
        <item x="3"/>
        <item t="default"/>
      </items>
    </pivotField>
    <pivotField name="Entry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CB Status " axis="axisCol" compact="0" outline="0" multipleItemSelectionAllowed="1" showAll="0" sortType="ascending">
      <items>
        <item x="2"/>
        <item x="4"/>
        <item x="5"/>
        <item x="3"/>
        <item x="0"/>
        <item x="1"/>
        <item t="default"/>
      </items>
    </pivotField>
    <pivotField name="Operator Name" compact="0" outline="0" multipleItemSelectionAllowed="1" showAll="0">
      <items>
        <item x="0"/>
        <item x="1"/>
        <item t="default"/>
      </items>
    </pivotField>
  </pivotFields>
  <rowFields>
    <field x="1"/>
    <field x="0"/>
  </rowFields>
  <colFields>
    <field x="5"/>
    <field x="3"/>
  </colFields>
  <dataFields>
    <dataField name="SUM of Entry Count" fld="4" baseField="0"/>
  </dataFields>
</pivotTableDefinition>
</file>

<file path=xl/pivotTables/pivotTable2.xml><?xml version="1.0" encoding="utf-8"?>
<pivotTableDefinition xmlns="http://schemas.openxmlformats.org/spreadsheetml/2006/main" name="Step8_QC_After_Cleaning" cacheId="1" dataCaption="" rowGrandTotals="0" compact="0" compactData="0">
  <location ref="K3:U57" firstHeaderRow="0" firstDataRow="2" firstDataCol="1" rowPageCount="1" colPageCount="1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Month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In_Lo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CB Type" axis="axisCol" compact="0" outline="0" multipleItemSelectionAllowed="1" showAll="0" sortType="ascending">
      <items>
        <item x="6"/>
        <item x="4"/>
        <item x="0"/>
        <item x="2"/>
        <item x="5"/>
        <item x="3"/>
        <item x="7"/>
        <item x="1"/>
        <item t="default"/>
      </items>
    </pivotField>
    <pivotField name="Quantity Pas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Quantity Fai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 Quantity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Operator Name" axis="axisPage" compact="0" outline="0" multipleItemSelectionAllowed="1" showAll="0">
      <items>
        <item x="0"/>
        <item h="1" x="1"/>
        <item h="1" x="2"/>
        <item t="default"/>
      </items>
    </pivotField>
    <pivotField name="Remar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  <field x="0"/>
  </rowFields>
  <colFields>
    <field x="3"/>
  </colFields>
  <pageFields>
    <pageField fld="7"/>
  </pageFields>
  <dataFields>
    <dataField name="SUM of Total Quantity 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.86"/>
    <col customWidth="1" min="3" max="3" width="10.71"/>
    <col customWidth="1" min="4" max="4" width="23.86"/>
    <col customWidth="1" min="5" max="5" width="30.14"/>
    <col customWidth="1" min="6" max="6" width="17.57"/>
    <col customWidth="1" min="7" max="7" width="18.29"/>
    <col customWidth="1" min="8" max="8" width="21.0"/>
    <col customWidth="1" min="9" max="29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>
      <c r="A2" s="4">
        <v>45569.0</v>
      </c>
      <c r="B2" s="5" t="str">
        <f t="shared" ref="B2:B7" si="1">TEXT(A2,"mmm-yy")</f>
        <v>Oct-24</v>
      </c>
      <c r="C2" s="6" t="s">
        <v>9</v>
      </c>
      <c r="D2" s="5" t="str">
        <f>if(C2=Step2_Segregation!C2,DATEDIF(A2,Today(), "Y") &amp; " Years, " &amp; DATEDIF(A2, Today(), "YM") &amp; " Months, " &amp; DATEDIF(A2, Today(), "MD") &amp; " Days","")</f>
        <v/>
      </c>
      <c r="E2" s="7"/>
      <c r="G2" s="8"/>
    </row>
    <row r="3">
      <c r="A3" s="4">
        <v>45597.0</v>
      </c>
      <c r="B3" s="5" t="str">
        <f t="shared" si="1"/>
        <v>Nov-24</v>
      </c>
      <c r="C3" s="6" t="s">
        <v>10</v>
      </c>
      <c r="D3" s="5"/>
      <c r="E3" s="7"/>
      <c r="G3" s="8"/>
    </row>
    <row r="4">
      <c r="A4" s="9">
        <v>45621.0</v>
      </c>
      <c r="B4" s="10" t="str">
        <f t="shared" si="1"/>
        <v>Nov-24</v>
      </c>
      <c r="C4" s="11" t="s">
        <v>10</v>
      </c>
      <c r="E4" s="12" t="s">
        <v>11</v>
      </c>
      <c r="F4" s="13">
        <v>657.0</v>
      </c>
      <c r="G4" s="13" t="s">
        <v>12</v>
      </c>
      <c r="H4" s="13">
        <v>664.0</v>
      </c>
      <c r="I4" s="13" t="s">
        <v>13</v>
      </c>
    </row>
    <row r="5">
      <c r="A5" s="9">
        <v>45621.0</v>
      </c>
      <c r="B5" s="10" t="str">
        <f t="shared" si="1"/>
        <v>Nov-24</v>
      </c>
      <c r="C5" s="11" t="s">
        <v>10</v>
      </c>
      <c r="E5" s="12" t="s">
        <v>14</v>
      </c>
      <c r="F5" s="13">
        <v>528.0</v>
      </c>
      <c r="G5" s="13" t="s">
        <v>12</v>
      </c>
      <c r="H5" s="13">
        <v>528.0</v>
      </c>
    </row>
    <row r="6">
      <c r="A6" s="9">
        <v>45621.0</v>
      </c>
      <c r="B6" s="10" t="str">
        <f t="shared" si="1"/>
        <v>Nov-24</v>
      </c>
      <c r="C6" s="11" t="s">
        <v>10</v>
      </c>
      <c r="E6" s="12" t="s">
        <v>15</v>
      </c>
      <c r="F6" s="13">
        <v>233.0</v>
      </c>
      <c r="G6" s="13" t="s">
        <v>12</v>
      </c>
      <c r="H6" s="13">
        <v>231.0</v>
      </c>
      <c r="I6" s="13" t="s">
        <v>16</v>
      </c>
    </row>
    <row r="7">
      <c r="A7" s="9">
        <v>45621.0</v>
      </c>
      <c r="B7" s="10" t="str">
        <f t="shared" si="1"/>
        <v>Nov-24</v>
      </c>
      <c r="C7" s="11" t="s">
        <v>10</v>
      </c>
      <c r="E7" s="12" t="s">
        <v>17</v>
      </c>
      <c r="F7" s="13">
        <v>606.0</v>
      </c>
      <c r="G7" s="13" t="s">
        <v>12</v>
      </c>
      <c r="H7" s="13">
        <v>606.0</v>
      </c>
    </row>
    <row r="8">
      <c r="E8" s="7"/>
      <c r="G8" s="8"/>
    </row>
    <row r="9">
      <c r="E9" s="7"/>
      <c r="G9" s="8"/>
    </row>
    <row r="10">
      <c r="E10" s="7"/>
      <c r="G10" s="8"/>
    </row>
    <row r="11">
      <c r="E11" s="7"/>
      <c r="G11" s="8"/>
    </row>
    <row r="12">
      <c r="E12" s="7"/>
      <c r="G12" s="8"/>
    </row>
    <row r="13">
      <c r="E13" s="7"/>
      <c r="G13" s="8"/>
    </row>
    <row r="14">
      <c r="E14" s="7"/>
      <c r="G14" s="8"/>
    </row>
    <row r="15">
      <c r="E15" s="7"/>
      <c r="G15" s="8"/>
    </row>
    <row r="16">
      <c r="E16" s="7"/>
      <c r="G16" s="8"/>
    </row>
    <row r="17">
      <c r="E17" s="7"/>
      <c r="G17" s="8"/>
    </row>
    <row r="18">
      <c r="E18" s="7"/>
      <c r="G18" s="8"/>
    </row>
    <row r="19">
      <c r="E19" s="7"/>
      <c r="G19" s="8"/>
    </row>
    <row r="20">
      <c r="E20" s="7"/>
      <c r="G20" s="8"/>
    </row>
    <row r="21">
      <c r="E21" s="7"/>
      <c r="G21" s="8"/>
    </row>
    <row r="22" ht="15.75" customHeight="1">
      <c r="E22" s="7"/>
      <c r="G22" s="8"/>
    </row>
    <row r="23" ht="15.75" customHeight="1">
      <c r="E23" s="7"/>
      <c r="G23" s="8"/>
    </row>
    <row r="24" ht="15.75" customHeight="1">
      <c r="E24" s="7"/>
      <c r="G24" s="8"/>
    </row>
    <row r="25" ht="15.75" customHeight="1">
      <c r="E25" s="7"/>
      <c r="G25" s="8"/>
    </row>
    <row r="26" ht="15.75" customHeight="1">
      <c r="E26" s="7"/>
      <c r="G26" s="8"/>
    </row>
    <row r="27" ht="15.75" customHeight="1">
      <c r="E27" s="7"/>
      <c r="G27" s="8"/>
    </row>
    <row r="28" ht="15.75" customHeight="1">
      <c r="E28" s="7"/>
      <c r="G28" s="8"/>
    </row>
    <row r="29" ht="15.75" customHeight="1">
      <c r="E29" s="7"/>
      <c r="G29" s="8"/>
    </row>
    <row r="30" ht="15.75" customHeight="1">
      <c r="E30" s="7"/>
      <c r="G30" s="8"/>
    </row>
    <row r="31" ht="15.75" customHeight="1">
      <c r="E31" s="7"/>
      <c r="G31" s="8"/>
    </row>
    <row r="32" ht="15.75" customHeight="1">
      <c r="E32" s="7"/>
      <c r="G32" s="8"/>
    </row>
    <row r="33" ht="15.75" customHeight="1">
      <c r="E33" s="7"/>
      <c r="G33" s="8"/>
    </row>
    <row r="34" ht="15.75" customHeight="1">
      <c r="E34" s="7"/>
      <c r="G34" s="8"/>
    </row>
    <row r="35" ht="15.75" customHeight="1">
      <c r="E35" s="7"/>
      <c r="G35" s="8"/>
    </row>
    <row r="36" ht="15.75" customHeight="1">
      <c r="E36" s="7"/>
      <c r="G36" s="8"/>
    </row>
    <row r="37" ht="15.75" customHeight="1">
      <c r="E37" s="7"/>
      <c r="G37" s="8"/>
    </row>
    <row r="38" ht="15.75" customHeight="1">
      <c r="E38" s="7"/>
      <c r="G38" s="8"/>
    </row>
    <row r="39" ht="15.75" customHeight="1">
      <c r="E39" s="7"/>
      <c r="G39" s="8"/>
    </row>
    <row r="40" ht="15.75" customHeight="1">
      <c r="E40" s="7"/>
      <c r="G40" s="8"/>
    </row>
    <row r="41" ht="15.75" customHeight="1">
      <c r="E41" s="7"/>
      <c r="G41" s="8"/>
    </row>
    <row r="42" ht="15.75" customHeight="1">
      <c r="E42" s="7"/>
      <c r="G42" s="8"/>
    </row>
    <row r="43" ht="15.75" customHeight="1">
      <c r="E43" s="7"/>
      <c r="G43" s="8"/>
    </row>
    <row r="44" ht="15.75" customHeight="1">
      <c r="E44" s="7"/>
      <c r="G44" s="8"/>
    </row>
    <row r="45" ht="15.75" customHeight="1">
      <c r="E45" s="7"/>
      <c r="G45" s="8"/>
    </row>
    <row r="46" ht="15.75" customHeight="1">
      <c r="E46" s="7"/>
      <c r="G46" s="8"/>
    </row>
    <row r="47" ht="15.75" customHeight="1">
      <c r="E47" s="7"/>
      <c r="G47" s="8"/>
    </row>
    <row r="48" ht="15.75" customHeight="1">
      <c r="E48" s="7"/>
      <c r="G48" s="8"/>
    </row>
    <row r="49" ht="15.75" customHeight="1">
      <c r="E49" s="7"/>
      <c r="G49" s="8"/>
    </row>
    <row r="50" ht="15.75" customHeight="1">
      <c r="E50" s="7"/>
      <c r="G50" s="8"/>
    </row>
    <row r="51" ht="15.75" customHeight="1">
      <c r="E51" s="7"/>
      <c r="G51" s="8"/>
    </row>
    <row r="52" ht="15.75" customHeight="1">
      <c r="E52" s="7"/>
      <c r="G52" s="8"/>
    </row>
    <row r="53" ht="15.75" customHeight="1">
      <c r="E53" s="7"/>
      <c r="G53" s="8"/>
    </row>
    <row r="54" ht="15.75" customHeight="1">
      <c r="E54" s="7"/>
      <c r="G54" s="8"/>
    </row>
    <row r="55" ht="15.75" customHeight="1">
      <c r="E55" s="7"/>
      <c r="G55" s="8"/>
    </row>
    <row r="56" ht="15.75" customHeight="1">
      <c r="E56" s="7"/>
      <c r="G56" s="8"/>
    </row>
    <row r="57" ht="15.75" customHeight="1">
      <c r="E57" s="7"/>
      <c r="G57" s="8"/>
    </row>
    <row r="58" ht="15.75" customHeight="1">
      <c r="E58" s="7"/>
      <c r="G58" s="8"/>
    </row>
    <row r="59" ht="15.75" customHeight="1">
      <c r="E59" s="7"/>
      <c r="G59" s="8"/>
    </row>
    <row r="60" ht="15.75" customHeight="1">
      <c r="E60" s="7"/>
      <c r="G60" s="8"/>
    </row>
    <row r="61" ht="15.75" customHeight="1">
      <c r="E61" s="7"/>
      <c r="G61" s="8"/>
    </row>
    <row r="62" ht="15.75" customHeight="1">
      <c r="E62" s="7"/>
      <c r="G62" s="8"/>
    </row>
    <row r="63" ht="15.75" customHeight="1">
      <c r="E63" s="7"/>
      <c r="G63" s="8"/>
    </row>
    <row r="64" ht="15.75" customHeight="1">
      <c r="E64" s="7"/>
      <c r="G64" s="8"/>
    </row>
    <row r="65" ht="15.75" customHeight="1">
      <c r="E65" s="7"/>
      <c r="G65" s="8"/>
    </row>
    <row r="66" ht="15.75" customHeight="1">
      <c r="E66" s="7"/>
      <c r="G66" s="8"/>
    </row>
    <row r="67" ht="15.75" customHeight="1">
      <c r="E67" s="7"/>
      <c r="G67" s="8"/>
    </row>
    <row r="68" ht="15.75" customHeight="1">
      <c r="E68" s="7"/>
      <c r="G68" s="8"/>
    </row>
    <row r="69" ht="15.75" customHeight="1">
      <c r="E69" s="7"/>
      <c r="G69" s="8"/>
    </row>
    <row r="70" ht="15.75" customHeight="1">
      <c r="E70" s="7"/>
      <c r="G70" s="8"/>
    </row>
    <row r="71" ht="15.75" customHeight="1">
      <c r="E71" s="7"/>
      <c r="G71" s="8"/>
    </row>
    <row r="72" ht="15.75" customHeight="1">
      <c r="E72" s="7"/>
      <c r="G72" s="8"/>
    </row>
    <row r="73" ht="15.75" customHeight="1">
      <c r="E73" s="7"/>
      <c r="G73" s="8"/>
    </row>
    <row r="74" ht="15.75" customHeight="1">
      <c r="E74" s="7"/>
      <c r="G74" s="8"/>
    </row>
    <row r="75" ht="15.75" customHeight="1">
      <c r="E75" s="7"/>
      <c r="G75" s="8"/>
    </row>
    <row r="76" ht="15.75" customHeight="1">
      <c r="E76" s="7"/>
      <c r="G76" s="8"/>
    </row>
    <row r="77" ht="15.75" customHeight="1">
      <c r="E77" s="7"/>
      <c r="G77" s="8"/>
    </row>
    <row r="78" ht="15.75" customHeight="1">
      <c r="E78" s="7"/>
      <c r="G78" s="8"/>
    </row>
    <row r="79" ht="15.75" customHeight="1">
      <c r="E79" s="7"/>
      <c r="G79" s="8"/>
    </row>
    <row r="80" ht="15.75" customHeight="1">
      <c r="E80" s="7"/>
      <c r="G80" s="8"/>
    </row>
    <row r="81" ht="15.75" customHeight="1">
      <c r="E81" s="7"/>
      <c r="G81" s="8"/>
    </row>
    <row r="82" ht="15.75" customHeight="1">
      <c r="E82" s="7"/>
      <c r="G82" s="8"/>
    </row>
    <row r="83" ht="15.75" customHeight="1">
      <c r="E83" s="7"/>
      <c r="G83" s="8"/>
    </row>
    <row r="84" ht="15.75" customHeight="1">
      <c r="E84" s="7"/>
      <c r="G84" s="8"/>
    </row>
    <row r="85" ht="15.75" customHeight="1">
      <c r="E85" s="7"/>
      <c r="G85" s="8"/>
    </row>
    <row r="86" ht="15.75" customHeight="1">
      <c r="E86" s="7"/>
      <c r="G86" s="8"/>
    </row>
    <row r="87" ht="15.75" customHeight="1">
      <c r="E87" s="7"/>
      <c r="G87" s="8"/>
    </row>
    <row r="88" ht="15.75" customHeight="1">
      <c r="E88" s="7"/>
      <c r="G88" s="8"/>
    </row>
    <row r="89" ht="15.75" customHeight="1">
      <c r="E89" s="7"/>
      <c r="G89" s="8"/>
    </row>
    <row r="90" ht="15.75" customHeight="1">
      <c r="E90" s="7"/>
      <c r="G90" s="8"/>
    </row>
    <row r="91" ht="15.75" customHeight="1">
      <c r="E91" s="7"/>
      <c r="G91" s="8"/>
    </row>
    <row r="92" ht="15.75" customHeight="1">
      <c r="E92" s="7"/>
      <c r="G92" s="8"/>
    </row>
    <row r="93" ht="15.75" customHeight="1">
      <c r="E93" s="7"/>
      <c r="G93" s="8"/>
    </row>
    <row r="94" ht="15.75" customHeight="1">
      <c r="E94" s="7"/>
      <c r="G94" s="8"/>
    </row>
    <row r="95" ht="15.75" customHeight="1">
      <c r="E95" s="7"/>
      <c r="G95" s="8"/>
    </row>
    <row r="96" ht="15.75" customHeight="1">
      <c r="E96" s="7"/>
      <c r="G96" s="8"/>
    </row>
    <row r="97" ht="15.75" customHeight="1">
      <c r="E97" s="7"/>
      <c r="G97" s="8"/>
    </row>
    <row r="98" ht="15.75" customHeight="1">
      <c r="E98" s="7"/>
      <c r="G98" s="8"/>
    </row>
    <row r="99" ht="15.75" customHeight="1">
      <c r="E99" s="7"/>
      <c r="G99" s="8"/>
    </row>
    <row r="100" ht="15.75" customHeight="1">
      <c r="E100" s="7"/>
      <c r="G100" s="8"/>
    </row>
    <row r="101" ht="15.75" customHeight="1">
      <c r="E101" s="7"/>
      <c r="G101" s="8"/>
    </row>
    <row r="102" ht="15.75" customHeight="1">
      <c r="E102" s="7"/>
      <c r="G102" s="8"/>
    </row>
    <row r="103" ht="15.75" customHeight="1">
      <c r="E103" s="7"/>
      <c r="G103" s="8"/>
    </row>
    <row r="104" ht="15.75" customHeight="1">
      <c r="E104" s="7"/>
      <c r="G104" s="8"/>
    </row>
    <row r="105" ht="15.75" customHeight="1">
      <c r="E105" s="7"/>
      <c r="G105" s="8"/>
    </row>
    <row r="106" ht="15.75" customHeight="1">
      <c r="E106" s="7"/>
      <c r="G106" s="8"/>
    </row>
    <row r="107" ht="15.75" customHeight="1">
      <c r="E107" s="7"/>
      <c r="G107" s="8"/>
    </row>
    <row r="108" ht="15.75" customHeight="1">
      <c r="E108" s="7"/>
      <c r="G108" s="8"/>
    </row>
    <row r="109" ht="15.75" customHeight="1">
      <c r="E109" s="7"/>
      <c r="G109" s="8"/>
    </row>
    <row r="110" ht="15.75" customHeight="1">
      <c r="E110" s="7"/>
      <c r="G110" s="8"/>
    </row>
    <row r="111" ht="15.75" customHeight="1">
      <c r="E111" s="7"/>
      <c r="G111" s="8"/>
    </row>
    <row r="112" ht="15.75" customHeight="1">
      <c r="E112" s="7"/>
      <c r="G112" s="8"/>
    </row>
    <row r="113" ht="15.75" customHeight="1">
      <c r="E113" s="7"/>
      <c r="G113" s="8"/>
    </row>
    <row r="114" ht="15.75" customHeight="1">
      <c r="E114" s="7"/>
      <c r="G114" s="8"/>
    </row>
    <row r="115" ht="15.75" customHeight="1">
      <c r="E115" s="7"/>
      <c r="G115" s="8"/>
    </row>
    <row r="116" ht="15.75" customHeight="1">
      <c r="E116" s="7"/>
      <c r="G116" s="8"/>
    </row>
    <row r="117" ht="15.75" customHeight="1">
      <c r="E117" s="7"/>
      <c r="G117" s="8"/>
    </row>
    <row r="118" ht="15.75" customHeight="1">
      <c r="E118" s="7"/>
      <c r="G118" s="8"/>
    </row>
    <row r="119" ht="15.75" customHeight="1">
      <c r="E119" s="7"/>
      <c r="G119" s="8"/>
    </row>
    <row r="120" ht="15.75" customHeight="1">
      <c r="E120" s="7"/>
      <c r="G120" s="8"/>
    </row>
    <row r="121" ht="15.75" customHeight="1">
      <c r="E121" s="7"/>
      <c r="G121" s="8"/>
    </row>
    <row r="122" ht="15.75" customHeight="1">
      <c r="E122" s="7"/>
      <c r="G122" s="8"/>
    </row>
    <row r="123" ht="15.75" customHeight="1">
      <c r="E123" s="7"/>
      <c r="G123" s="8"/>
    </row>
    <row r="124" ht="15.75" customHeight="1">
      <c r="E124" s="7"/>
      <c r="G124" s="8"/>
    </row>
    <row r="125" ht="15.75" customHeight="1">
      <c r="E125" s="7"/>
      <c r="G125" s="8"/>
    </row>
    <row r="126" ht="15.75" customHeight="1">
      <c r="E126" s="7"/>
      <c r="G126" s="8"/>
    </row>
    <row r="127" ht="15.75" customHeight="1">
      <c r="E127" s="7"/>
      <c r="G127" s="8"/>
    </row>
    <row r="128" ht="15.75" customHeight="1">
      <c r="E128" s="7"/>
      <c r="G128" s="8"/>
    </row>
    <row r="129" ht="15.75" customHeight="1">
      <c r="E129" s="7"/>
      <c r="G129" s="8"/>
    </row>
    <row r="130" ht="15.75" customHeight="1">
      <c r="E130" s="7"/>
      <c r="G130" s="8"/>
    </row>
    <row r="131" ht="15.75" customHeight="1">
      <c r="E131" s="7"/>
      <c r="G131" s="8"/>
    </row>
    <row r="132" ht="15.75" customHeight="1">
      <c r="E132" s="7"/>
      <c r="G132" s="8"/>
    </row>
    <row r="133" ht="15.75" customHeight="1">
      <c r="E133" s="7"/>
      <c r="G133" s="8"/>
    </row>
    <row r="134" ht="15.75" customHeight="1">
      <c r="E134" s="7"/>
      <c r="G134" s="8"/>
    </row>
    <row r="135" ht="15.75" customHeight="1">
      <c r="E135" s="7"/>
      <c r="G135" s="8"/>
    </row>
    <row r="136" ht="15.75" customHeight="1">
      <c r="E136" s="7"/>
      <c r="G136" s="8"/>
    </row>
    <row r="137" ht="15.75" customHeight="1">
      <c r="E137" s="7"/>
      <c r="G137" s="8"/>
    </row>
    <row r="138" ht="15.75" customHeight="1">
      <c r="E138" s="7"/>
      <c r="G138" s="8"/>
    </row>
    <row r="139" ht="15.75" customHeight="1">
      <c r="E139" s="7"/>
      <c r="G139" s="8"/>
    </row>
    <row r="140" ht="15.75" customHeight="1">
      <c r="E140" s="7"/>
      <c r="G140" s="8"/>
    </row>
    <row r="141" ht="15.75" customHeight="1">
      <c r="E141" s="7"/>
      <c r="G141" s="8"/>
    </row>
    <row r="142" ht="15.75" customHeight="1">
      <c r="E142" s="7"/>
      <c r="G142" s="8"/>
    </row>
    <row r="143" ht="15.75" customHeight="1">
      <c r="E143" s="7"/>
      <c r="G143" s="8"/>
    </row>
    <row r="144" ht="15.75" customHeight="1">
      <c r="E144" s="7"/>
      <c r="G144" s="8"/>
    </row>
    <row r="145" ht="15.75" customHeight="1">
      <c r="E145" s="7"/>
      <c r="G145" s="8"/>
    </row>
    <row r="146" ht="15.75" customHeight="1">
      <c r="E146" s="7"/>
      <c r="G146" s="8"/>
    </row>
    <row r="147" ht="15.75" customHeight="1">
      <c r="E147" s="7"/>
      <c r="G147" s="8"/>
    </row>
    <row r="148" ht="15.75" customHeight="1">
      <c r="E148" s="7"/>
      <c r="G148" s="8"/>
    </row>
    <row r="149" ht="15.75" customHeight="1">
      <c r="E149" s="7"/>
      <c r="G149" s="8"/>
    </row>
    <row r="150" ht="15.75" customHeight="1">
      <c r="E150" s="7"/>
      <c r="G150" s="8"/>
    </row>
    <row r="151" ht="15.75" customHeight="1">
      <c r="E151" s="7"/>
      <c r="G151" s="8"/>
    </row>
    <row r="152" ht="15.75" customHeight="1">
      <c r="E152" s="7"/>
      <c r="G152" s="8"/>
    </row>
    <row r="153" ht="15.75" customHeight="1">
      <c r="E153" s="7"/>
      <c r="G153" s="8"/>
    </row>
    <row r="154" ht="15.75" customHeight="1">
      <c r="E154" s="7"/>
      <c r="G154" s="8"/>
    </row>
    <row r="155" ht="15.75" customHeight="1">
      <c r="E155" s="7"/>
      <c r="G155" s="8"/>
    </row>
    <row r="156" ht="15.75" customHeight="1">
      <c r="E156" s="7"/>
      <c r="G156" s="8"/>
    </row>
    <row r="157" ht="15.75" customHeight="1">
      <c r="E157" s="7"/>
      <c r="G157" s="8"/>
    </row>
    <row r="158" ht="15.75" customHeight="1">
      <c r="E158" s="7"/>
      <c r="G158" s="8"/>
    </row>
    <row r="159" ht="15.75" customHeight="1">
      <c r="E159" s="7"/>
      <c r="G159" s="8"/>
    </row>
    <row r="160" ht="15.75" customHeight="1">
      <c r="E160" s="7"/>
      <c r="G160" s="8"/>
    </row>
    <row r="161" ht="15.75" customHeight="1">
      <c r="E161" s="7"/>
      <c r="G161" s="8"/>
    </row>
    <row r="162" ht="15.75" customHeight="1">
      <c r="E162" s="7"/>
      <c r="G162" s="8"/>
    </row>
    <row r="163" ht="15.75" customHeight="1">
      <c r="E163" s="7"/>
      <c r="G163" s="8"/>
    </row>
    <row r="164" ht="15.75" customHeight="1">
      <c r="E164" s="7"/>
      <c r="G164" s="8"/>
    </row>
    <row r="165" ht="15.75" customHeight="1">
      <c r="E165" s="7"/>
      <c r="G165" s="8"/>
    </row>
    <row r="166" ht="15.75" customHeight="1">
      <c r="E166" s="7"/>
      <c r="G166" s="8"/>
    </row>
    <row r="167" ht="15.75" customHeight="1">
      <c r="E167" s="7"/>
      <c r="G167" s="8"/>
    </row>
    <row r="168" ht="15.75" customHeight="1">
      <c r="E168" s="7"/>
      <c r="G168" s="8"/>
    </row>
    <row r="169" ht="15.75" customHeight="1">
      <c r="E169" s="7"/>
      <c r="G169" s="8"/>
    </row>
    <row r="170" ht="15.75" customHeight="1">
      <c r="E170" s="7"/>
      <c r="G170" s="8"/>
    </row>
    <row r="171" ht="15.75" customHeight="1">
      <c r="E171" s="7"/>
      <c r="G171" s="8"/>
    </row>
    <row r="172" ht="15.75" customHeight="1">
      <c r="E172" s="7"/>
      <c r="G172" s="8"/>
    </row>
    <row r="173" ht="15.75" customHeight="1">
      <c r="E173" s="7"/>
      <c r="G173" s="8"/>
    </row>
    <row r="174" ht="15.75" customHeight="1">
      <c r="E174" s="7"/>
      <c r="G174" s="8"/>
    </row>
    <row r="175" ht="15.75" customHeight="1">
      <c r="E175" s="7"/>
      <c r="G175" s="8"/>
    </row>
    <row r="176" ht="15.75" customHeight="1">
      <c r="E176" s="7"/>
      <c r="G176" s="8"/>
    </row>
    <row r="177" ht="15.75" customHeight="1">
      <c r="E177" s="7"/>
      <c r="G177" s="8"/>
    </row>
    <row r="178" ht="15.75" customHeight="1">
      <c r="E178" s="7"/>
      <c r="G178" s="8"/>
    </row>
    <row r="179" ht="15.75" customHeight="1">
      <c r="E179" s="7"/>
      <c r="G179" s="8"/>
    </row>
    <row r="180" ht="15.75" customHeight="1">
      <c r="E180" s="7"/>
      <c r="G180" s="8"/>
    </row>
    <row r="181" ht="15.75" customHeight="1">
      <c r="E181" s="7"/>
      <c r="G181" s="8"/>
    </row>
    <row r="182" ht="15.75" customHeight="1">
      <c r="E182" s="7"/>
      <c r="G182" s="8"/>
    </row>
    <row r="183" ht="15.75" customHeight="1">
      <c r="E183" s="7"/>
      <c r="G183" s="8"/>
    </row>
    <row r="184" ht="15.75" customHeight="1">
      <c r="E184" s="7"/>
      <c r="G184" s="8"/>
    </row>
    <row r="185" ht="15.75" customHeight="1">
      <c r="E185" s="7"/>
      <c r="G185" s="8"/>
    </row>
    <row r="186" ht="15.75" customHeight="1">
      <c r="E186" s="7"/>
      <c r="G186" s="8"/>
    </row>
    <row r="187" ht="15.75" customHeight="1">
      <c r="E187" s="7"/>
      <c r="G187" s="8"/>
    </row>
    <row r="188" ht="15.75" customHeight="1">
      <c r="E188" s="7"/>
      <c r="G188" s="8"/>
    </row>
    <row r="189" ht="15.75" customHeight="1">
      <c r="E189" s="7"/>
      <c r="G189" s="8"/>
    </row>
    <row r="190" ht="15.75" customHeight="1">
      <c r="E190" s="7"/>
      <c r="G190" s="8"/>
    </row>
    <row r="191" ht="15.75" customHeight="1">
      <c r="E191" s="7"/>
      <c r="G191" s="8"/>
    </row>
    <row r="192" ht="15.75" customHeight="1">
      <c r="E192" s="7"/>
      <c r="G192" s="8"/>
    </row>
    <row r="193" ht="15.75" customHeight="1">
      <c r="E193" s="7"/>
      <c r="G193" s="8"/>
    </row>
    <row r="194" ht="15.75" customHeight="1">
      <c r="E194" s="7"/>
      <c r="G194" s="8"/>
    </row>
    <row r="195" ht="15.75" customHeight="1">
      <c r="E195" s="7"/>
      <c r="G195" s="8"/>
    </row>
    <row r="196" ht="15.75" customHeight="1">
      <c r="E196" s="7"/>
      <c r="G196" s="8"/>
    </row>
    <row r="197" ht="15.75" customHeight="1">
      <c r="E197" s="7"/>
      <c r="G197" s="8"/>
    </row>
    <row r="198" ht="15.75" customHeight="1">
      <c r="E198" s="7"/>
      <c r="G198" s="8"/>
    </row>
    <row r="199" ht="15.75" customHeight="1">
      <c r="E199" s="7"/>
      <c r="G199" s="8"/>
    </row>
    <row r="200" ht="15.75" customHeight="1">
      <c r="E200" s="7"/>
      <c r="G200" s="8"/>
    </row>
    <row r="201" ht="15.75" customHeight="1">
      <c r="E201" s="7"/>
      <c r="G201" s="8"/>
    </row>
    <row r="202" ht="15.75" customHeight="1">
      <c r="E202" s="7"/>
      <c r="G202" s="8"/>
    </row>
    <row r="203" ht="15.75" customHeight="1">
      <c r="E203" s="7"/>
      <c r="G203" s="8"/>
    </row>
    <row r="204" ht="15.75" customHeight="1">
      <c r="E204" s="7"/>
      <c r="G204" s="8"/>
    </row>
    <row r="205" ht="15.75" customHeight="1">
      <c r="E205" s="7"/>
      <c r="G205" s="8"/>
    </row>
    <row r="206" ht="15.75" customHeight="1">
      <c r="E206" s="7"/>
      <c r="G206" s="8"/>
    </row>
    <row r="207" ht="15.75" customHeight="1">
      <c r="E207" s="7"/>
      <c r="G207" s="8"/>
    </row>
    <row r="208" ht="15.75" customHeight="1">
      <c r="E208" s="7"/>
      <c r="G208" s="8"/>
    </row>
    <row r="209" ht="15.75" customHeight="1">
      <c r="E209" s="7"/>
      <c r="G209" s="8"/>
    </row>
    <row r="210" ht="15.75" customHeight="1">
      <c r="E210" s="7"/>
      <c r="G210" s="8"/>
    </row>
    <row r="211" ht="15.75" customHeight="1">
      <c r="E211" s="7"/>
      <c r="G211" s="8"/>
    </row>
    <row r="212" ht="15.75" customHeight="1">
      <c r="E212" s="7"/>
      <c r="G212" s="8"/>
    </row>
    <row r="213" ht="15.75" customHeight="1">
      <c r="E213" s="7"/>
      <c r="G213" s="8"/>
    </row>
    <row r="214" ht="15.75" customHeight="1">
      <c r="E214" s="7"/>
      <c r="G214" s="8"/>
    </row>
    <row r="215" ht="15.75" customHeight="1">
      <c r="E215" s="7"/>
      <c r="G215" s="8"/>
    </row>
    <row r="216" ht="15.75" customHeight="1">
      <c r="E216" s="7"/>
      <c r="G216" s="8"/>
    </row>
    <row r="217" ht="15.75" customHeight="1">
      <c r="E217" s="7"/>
      <c r="G217" s="8"/>
    </row>
    <row r="218" ht="15.75" customHeight="1">
      <c r="E218" s="7"/>
      <c r="G218" s="8"/>
    </row>
    <row r="219" ht="15.75" customHeight="1">
      <c r="E219" s="7"/>
      <c r="G219" s="8"/>
    </row>
    <row r="220" ht="15.75" customHeight="1">
      <c r="E220" s="7"/>
      <c r="G220" s="8"/>
    </row>
    <row r="221" ht="15.75" customHeight="1">
      <c r="E221" s="7"/>
      <c r="G221" s="8"/>
    </row>
    <row r="222" ht="15.75" customHeight="1">
      <c r="E222" s="8"/>
      <c r="G222" s="8"/>
    </row>
    <row r="223" ht="15.75" customHeight="1">
      <c r="E223" s="8"/>
      <c r="G223" s="8"/>
    </row>
    <row r="224" ht="15.75" customHeight="1">
      <c r="E224" s="8"/>
      <c r="G224" s="8"/>
    </row>
    <row r="225" ht="15.75" customHeight="1">
      <c r="E225" s="8"/>
      <c r="G225" s="8"/>
    </row>
    <row r="226" ht="15.75" customHeight="1">
      <c r="E226" s="8"/>
      <c r="G226" s="8"/>
    </row>
    <row r="227" ht="15.75" customHeight="1">
      <c r="E227" s="8"/>
      <c r="G227" s="8"/>
    </row>
    <row r="228" ht="15.75" customHeight="1">
      <c r="E228" s="8"/>
      <c r="G228" s="8"/>
    </row>
    <row r="229" ht="15.75" customHeight="1">
      <c r="E229" s="8"/>
      <c r="G229" s="8"/>
    </row>
    <row r="230" ht="15.75" customHeight="1">
      <c r="E230" s="8"/>
      <c r="G230" s="8"/>
    </row>
    <row r="231" ht="15.75" customHeight="1">
      <c r="E231" s="8"/>
      <c r="G231" s="8"/>
    </row>
    <row r="232" ht="15.75" customHeight="1">
      <c r="E232" s="8"/>
      <c r="G232" s="8"/>
    </row>
    <row r="233" ht="15.75" customHeight="1">
      <c r="E233" s="8"/>
      <c r="G233" s="8"/>
    </row>
    <row r="234" ht="15.75" customHeight="1">
      <c r="E234" s="8"/>
      <c r="G234" s="8"/>
    </row>
    <row r="235" ht="15.75" customHeight="1">
      <c r="E235" s="8"/>
      <c r="G235" s="8"/>
    </row>
    <row r="236" ht="15.75" customHeight="1">
      <c r="E236" s="8"/>
      <c r="G236" s="8"/>
    </row>
    <row r="237" ht="15.75" customHeight="1">
      <c r="E237" s="8"/>
      <c r="G237" s="8"/>
    </row>
    <row r="238" ht="15.75" customHeight="1">
      <c r="E238" s="8"/>
      <c r="G238" s="8"/>
    </row>
    <row r="239" ht="15.75" customHeight="1">
      <c r="E239" s="8"/>
      <c r="G239" s="8"/>
    </row>
    <row r="240" ht="15.75" customHeight="1">
      <c r="E240" s="8"/>
      <c r="G240" s="8"/>
    </row>
    <row r="241" ht="15.75" customHeight="1">
      <c r="E241" s="8"/>
      <c r="G241" s="8"/>
    </row>
    <row r="242" ht="15.75" customHeight="1">
      <c r="E242" s="8"/>
      <c r="G242" s="8"/>
    </row>
    <row r="243" ht="15.75" customHeight="1">
      <c r="E243" s="8"/>
      <c r="G243" s="8"/>
    </row>
    <row r="244" ht="15.75" customHeight="1">
      <c r="E244" s="8"/>
      <c r="G244" s="8"/>
    </row>
    <row r="245" ht="15.75" customHeight="1">
      <c r="E245" s="8"/>
      <c r="G245" s="8"/>
    </row>
    <row r="246" ht="15.75" customHeight="1">
      <c r="E246" s="8"/>
      <c r="G246" s="8"/>
    </row>
    <row r="247" ht="15.75" customHeight="1">
      <c r="E247" s="8"/>
      <c r="G247" s="8"/>
    </row>
    <row r="248" ht="15.75" customHeight="1">
      <c r="E248" s="8"/>
      <c r="G248" s="8"/>
    </row>
    <row r="249" ht="15.75" customHeight="1">
      <c r="E249" s="8"/>
      <c r="G249" s="8"/>
    </row>
    <row r="250" ht="15.75" customHeight="1">
      <c r="E250" s="8"/>
      <c r="G250" s="8"/>
    </row>
    <row r="251" ht="15.75" customHeight="1">
      <c r="E251" s="8"/>
      <c r="G251" s="8"/>
    </row>
    <row r="252" ht="15.75" customHeight="1">
      <c r="E252" s="8"/>
      <c r="G252" s="8"/>
    </row>
    <row r="253" ht="15.75" customHeight="1">
      <c r="E253" s="8"/>
      <c r="G253" s="8"/>
    </row>
    <row r="254" ht="15.75" customHeight="1">
      <c r="E254" s="8"/>
      <c r="G254" s="8"/>
    </row>
    <row r="255" ht="15.75" customHeight="1">
      <c r="E255" s="8"/>
      <c r="G255" s="8"/>
    </row>
    <row r="256" ht="15.75" customHeight="1">
      <c r="E256" s="8"/>
      <c r="G256" s="8"/>
    </row>
    <row r="257" ht="15.75" customHeight="1">
      <c r="E257" s="8"/>
      <c r="G257" s="8"/>
    </row>
    <row r="258" ht="15.75" customHeight="1">
      <c r="E258" s="8"/>
      <c r="G258" s="8"/>
    </row>
    <row r="259" ht="15.75" customHeight="1">
      <c r="E259" s="8"/>
      <c r="G259" s="8"/>
    </row>
    <row r="260" ht="15.75" customHeight="1">
      <c r="E260" s="8"/>
      <c r="G260" s="8"/>
    </row>
    <row r="261" ht="15.75" customHeight="1">
      <c r="E261" s="8"/>
      <c r="G261" s="8"/>
    </row>
    <row r="262" ht="15.75" customHeight="1">
      <c r="E262" s="8"/>
      <c r="G262" s="8"/>
    </row>
    <row r="263" ht="15.75" customHeight="1">
      <c r="E263" s="8"/>
      <c r="G263" s="8"/>
    </row>
    <row r="264" ht="15.75" customHeight="1">
      <c r="E264" s="8"/>
      <c r="G264" s="8"/>
    </row>
    <row r="265" ht="15.75" customHeight="1">
      <c r="E265" s="8"/>
      <c r="G265" s="8"/>
    </row>
    <row r="266" ht="15.75" customHeight="1">
      <c r="E266" s="8"/>
      <c r="G266" s="8"/>
    </row>
    <row r="267" ht="15.75" customHeight="1">
      <c r="E267" s="8"/>
      <c r="G267" s="8"/>
    </row>
    <row r="268" ht="15.75" customHeight="1">
      <c r="E268" s="8"/>
      <c r="G268" s="8"/>
    </row>
    <row r="269" ht="15.75" customHeight="1">
      <c r="E269" s="8"/>
      <c r="G269" s="8"/>
    </row>
    <row r="270" ht="15.75" customHeight="1">
      <c r="E270" s="8"/>
      <c r="G270" s="8"/>
    </row>
    <row r="271" ht="15.75" customHeight="1">
      <c r="E271" s="8"/>
      <c r="G271" s="8"/>
    </row>
    <row r="272" ht="15.75" customHeight="1">
      <c r="E272" s="8"/>
      <c r="G272" s="8"/>
    </row>
    <row r="273" ht="15.75" customHeight="1">
      <c r="E273" s="8"/>
      <c r="G273" s="8"/>
    </row>
    <row r="274" ht="15.75" customHeight="1">
      <c r="E274" s="8"/>
      <c r="G274" s="8"/>
    </row>
    <row r="275" ht="15.75" customHeight="1">
      <c r="E275" s="8"/>
      <c r="G275" s="8"/>
    </row>
    <row r="276" ht="15.75" customHeight="1">
      <c r="E276" s="8"/>
      <c r="G276" s="8"/>
    </row>
    <row r="277" ht="15.75" customHeight="1">
      <c r="E277" s="8"/>
      <c r="G277" s="8"/>
    </row>
    <row r="278" ht="15.75" customHeight="1">
      <c r="E278" s="8"/>
      <c r="G278" s="8"/>
    </row>
    <row r="279" ht="15.75" customHeight="1">
      <c r="E279" s="8"/>
      <c r="G279" s="8"/>
    </row>
    <row r="280" ht="15.75" customHeight="1">
      <c r="E280" s="8"/>
      <c r="G280" s="8"/>
    </row>
    <row r="281" ht="15.75" customHeight="1">
      <c r="E281" s="8"/>
      <c r="G281" s="8"/>
    </row>
    <row r="282" ht="15.75" customHeight="1">
      <c r="E282" s="8"/>
      <c r="G282" s="8"/>
    </row>
    <row r="283" ht="15.75" customHeight="1">
      <c r="E283" s="8"/>
      <c r="G283" s="8"/>
    </row>
    <row r="284" ht="15.75" customHeight="1">
      <c r="E284" s="8"/>
      <c r="G284" s="8"/>
    </row>
    <row r="285" ht="15.75" customHeight="1">
      <c r="E285" s="8"/>
      <c r="G285" s="8"/>
    </row>
    <row r="286" ht="15.75" customHeight="1">
      <c r="E286" s="8"/>
      <c r="G286" s="8"/>
    </row>
    <row r="287" ht="15.75" customHeight="1">
      <c r="E287" s="8"/>
      <c r="G287" s="8"/>
    </row>
    <row r="288" ht="15.75" customHeight="1">
      <c r="E288" s="8"/>
      <c r="G288" s="8"/>
    </row>
    <row r="289" ht="15.75" customHeight="1">
      <c r="E289" s="8"/>
      <c r="G289" s="8"/>
    </row>
    <row r="290" ht="15.75" customHeight="1">
      <c r="E290" s="8"/>
      <c r="G290" s="8"/>
    </row>
    <row r="291" ht="15.75" customHeight="1">
      <c r="E291" s="8"/>
      <c r="G291" s="8"/>
    </row>
    <row r="292" ht="15.75" customHeight="1">
      <c r="E292" s="8"/>
      <c r="G292" s="8"/>
    </row>
    <row r="293" ht="15.75" customHeight="1">
      <c r="E293" s="8"/>
      <c r="G293" s="8"/>
    </row>
    <row r="294" ht="15.75" customHeight="1">
      <c r="E294" s="8"/>
      <c r="G294" s="8"/>
    </row>
    <row r="295" ht="15.75" customHeight="1">
      <c r="E295" s="8"/>
      <c r="G295" s="8"/>
    </row>
    <row r="296" ht="15.75" customHeight="1">
      <c r="E296" s="8"/>
      <c r="G296" s="8"/>
    </row>
    <row r="297" ht="15.75" customHeight="1">
      <c r="E297" s="8"/>
      <c r="G297" s="8"/>
    </row>
    <row r="298" ht="15.75" customHeight="1">
      <c r="E298" s="8"/>
      <c r="G298" s="8"/>
    </row>
    <row r="299" ht="15.75" customHeight="1">
      <c r="E299" s="8"/>
      <c r="G299" s="8"/>
    </row>
    <row r="300" ht="15.75" customHeight="1">
      <c r="E300" s="8"/>
      <c r="G300" s="8"/>
    </row>
    <row r="301" ht="15.75" customHeight="1">
      <c r="E301" s="8"/>
      <c r="G301" s="8"/>
    </row>
    <row r="302" ht="15.75" customHeight="1">
      <c r="E302" s="8"/>
      <c r="G302" s="8"/>
    </row>
    <row r="303" ht="15.75" customHeight="1">
      <c r="E303" s="8"/>
      <c r="G303" s="8"/>
    </row>
    <row r="304" ht="15.75" customHeight="1">
      <c r="E304" s="8"/>
      <c r="G304" s="8"/>
    </row>
    <row r="305" ht="15.75" customHeight="1">
      <c r="E305" s="8"/>
      <c r="G305" s="8"/>
    </row>
    <row r="306" ht="15.75" customHeight="1">
      <c r="E306" s="8"/>
      <c r="G306" s="8"/>
    </row>
    <row r="307" ht="15.75" customHeight="1">
      <c r="E307" s="8"/>
      <c r="G307" s="8"/>
    </row>
    <row r="308" ht="15.75" customHeight="1">
      <c r="E308" s="8"/>
      <c r="G308" s="8"/>
    </row>
    <row r="309" ht="15.75" customHeight="1">
      <c r="E309" s="8"/>
      <c r="G309" s="8"/>
    </row>
    <row r="310" ht="15.75" customHeight="1">
      <c r="E310" s="8"/>
    </row>
    <row r="311" ht="15.75" customHeight="1">
      <c r="E311" s="8"/>
    </row>
    <row r="312" ht="15.75" customHeight="1">
      <c r="E312" s="8"/>
    </row>
    <row r="313" ht="15.75" customHeight="1">
      <c r="E313" s="8"/>
    </row>
    <row r="314" ht="15.75" customHeight="1">
      <c r="E314" s="8"/>
    </row>
    <row r="315" ht="15.75" customHeight="1">
      <c r="E315" s="8"/>
    </row>
    <row r="316" ht="15.75" customHeight="1">
      <c r="E316" s="8"/>
    </row>
    <row r="317" ht="15.75" customHeight="1">
      <c r="E317" s="8"/>
    </row>
    <row r="318" ht="15.75" customHeight="1">
      <c r="E318" s="8"/>
    </row>
    <row r="319" ht="15.75" customHeight="1">
      <c r="E319" s="8"/>
    </row>
    <row r="320" ht="15.75" customHeight="1">
      <c r="E320" s="8"/>
    </row>
    <row r="321" ht="15.75" customHeight="1">
      <c r="E321" s="8"/>
    </row>
    <row r="322" ht="15.75" customHeight="1">
      <c r="E322" s="8"/>
    </row>
    <row r="323" ht="15.75" customHeight="1">
      <c r="E323" s="8"/>
    </row>
    <row r="324" ht="15.75" customHeight="1">
      <c r="E324" s="8"/>
    </row>
    <row r="325" ht="15.75" customHeight="1">
      <c r="E325" s="8"/>
    </row>
    <row r="326" ht="15.75" customHeight="1">
      <c r="E326" s="8"/>
    </row>
    <row r="327" ht="15.75" customHeight="1">
      <c r="E327" s="8"/>
    </row>
    <row r="328" ht="15.75" customHeight="1">
      <c r="E328" s="8"/>
    </row>
    <row r="329" ht="15.75" customHeight="1">
      <c r="E329" s="8"/>
    </row>
    <row r="330" ht="15.75" customHeight="1">
      <c r="E330" s="8"/>
    </row>
    <row r="331" ht="15.75" customHeight="1">
      <c r="E331" s="8"/>
    </row>
    <row r="332" ht="15.75" customHeight="1">
      <c r="E332" s="8"/>
    </row>
    <row r="333" ht="15.75" customHeight="1">
      <c r="E333" s="8"/>
    </row>
    <row r="334" ht="15.75" customHeight="1">
      <c r="E334" s="8"/>
    </row>
    <row r="335" ht="15.75" customHeight="1">
      <c r="E335" s="8"/>
    </row>
    <row r="336" ht="15.75" customHeight="1">
      <c r="E336" s="8"/>
    </row>
    <row r="337" ht="15.75" customHeight="1">
      <c r="E337" s="8"/>
    </row>
    <row r="338" ht="15.75" customHeight="1">
      <c r="E338" s="8"/>
    </row>
    <row r="339" ht="15.75" customHeight="1">
      <c r="E339" s="8"/>
    </row>
    <row r="340" ht="15.75" customHeight="1">
      <c r="E340" s="8"/>
    </row>
    <row r="341" ht="15.75" customHeight="1">
      <c r="E341" s="8"/>
    </row>
    <row r="342" ht="15.75" customHeight="1">
      <c r="E342" s="8"/>
    </row>
    <row r="343" ht="15.75" customHeight="1">
      <c r="E343" s="8"/>
    </row>
    <row r="344" ht="15.75" customHeight="1">
      <c r="E344" s="8"/>
    </row>
    <row r="345" ht="15.75" customHeight="1">
      <c r="E345" s="8"/>
    </row>
    <row r="346" ht="15.75" customHeight="1">
      <c r="E346" s="8"/>
    </row>
    <row r="347" ht="15.75" customHeight="1">
      <c r="E347" s="8"/>
    </row>
    <row r="348" ht="15.75" customHeight="1">
      <c r="E348" s="8"/>
    </row>
    <row r="349" ht="15.75" customHeight="1">
      <c r="E349" s="8"/>
    </row>
    <row r="350" ht="15.75" customHeight="1">
      <c r="E350" s="8"/>
    </row>
    <row r="351" ht="15.75" customHeight="1">
      <c r="E351" s="8"/>
    </row>
    <row r="352" ht="15.75" customHeight="1">
      <c r="E352" s="8"/>
    </row>
    <row r="353" ht="15.75" customHeight="1">
      <c r="E353" s="8"/>
    </row>
    <row r="354" ht="15.75" customHeight="1">
      <c r="E354" s="8"/>
    </row>
    <row r="355" ht="15.75" customHeight="1">
      <c r="E355" s="8"/>
    </row>
    <row r="356" ht="15.75" customHeight="1">
      <c r="E356" s="8"/>
    </row>
    <row r="357" ht="15.75" customHeight="1">
      <c r="E357" s="8"/>
    </row>
    <row r="358" ht="15.75" customHeight="1">
      <c r="E358" s="8"/>
    </row>
    <row r="359" ht="15.75" customHeight="1">
      <c r="E359" s="8"/>
    </row>
    <row r="360" ht="15.75" customHeight="1">
      <c r="E360" s="8"/>
    </row>
    <row r="361" ht="15.75" customHeight="1">
      <c r="E361" s="8"/>
    </row>
    <row r="362" ht="15.75" customHeight="1">
      <c r="E362" s="8"/>
    </row>
    <row r="363" ht="15.75" customHeight="1">
      <c r="E363" s="8"/>
    </row>
    <row r="364" ht="15.75" customHeight="1">
      <c r="E364" s="8"/>
    </row>
    <row r="365" ht="15.75" customHeight="1">
      <c r="E365" s="8"/>
    </row>
    <row r="366" ht="15.75" customHeight="1">
      <c r="E366" s="8"/>
    </row>
    <row r="367" ht="15.75" customHeight="1">
      <c r="E367" s="8"/>
    </row>
    <row r="368" ht="15.75" customHeight="1">
      <c r="E368" s="8"/>
    </row>
    <row r="369" ht="15.75" customHeight="1">
      <c r="E369" s="8"/>
    </row>
    <row r="370" ht="15.75" customHeight="1">
      <c r="E370" s="8"/>
    </row>
    <row r="371" ht="15.75" customHeight="1">
      <c r="E371" s="8"/>
    </row>
    <row r="372" ht="15.75" customHeight="1">
      <c r="E372" s="8"/>
    </row>
    <row r="373" ht="15.75" customHeight="1">
      <c r="E373" s="8"/>
    </row>
    <row r="374" ht="15.75" customHeight="1">
      <c r="E374" s="8"/>
    </row>
    <row r="375" ht="15.75" customHeight="1">
      <c r="E375" s="8"/>
    </row>
    <row r="376" ht="15.75" customHeight="1">
      <c r="E376" s="8"/>
    </row>
    <row r="377" ht="15.75" customHeight="1">
      <c r="E377" s="8"/>
    </row>
    <row r="378" ht="15.75" customHeight="1">
      <c r="E378" s="8"/>
    </row>
    <row r="379" ht="15.75" customHeight="1">
      <c r="E379" s="8"/>
    </row>
    <row r="380" ht="15.75" customHeight="1">
      <c r="E380" s="8"/>
    </row>
    <row r="381" ht="15.75" customHeight="1">
      <c r="E381" s="8"/>
    </row>
    <row r="382" ht="15.75" customHeight="1">
      <c r="E382" s="8"/>
    </row>
    <row r="383" ht="15.75" customHeight="1">
      <c r="E383" s="8"/>
    </row>
    <row r="384" ht="15.75" customHeight="1">
      <c r="E384" s="8"/>
    </row>
    <row r="385" ht="15.75" customHeight="1">
      <c r="E385" s="8"/>
    </row>
    <row r="386" ht="15.75" customHeight="1">
      <c r="E386" s="8"/>
    </row>
    <row r="387" ht="15.75" customHeight="1">
      <c r="E387" s="8"/>
    </row>
    <row r="388" ht="15.75" customHeight="1">
      <c r="E388" s="8"/>
    </row>
    <row r="389" ht="15.75" customHeight="1">
      <c r="E389" s="8"/>
    </row>
    <row r="390" ht="15.75" customHeight="1">
      <c r="E390" s="8"/>
    </row>
    <row r="391" ht="15.75" customHeight="1">
      <c r="E391" s="8"/>
    </row>
    <row r="392" ht="15.75" customHeight="1">
      <c r="E392" s="8"/>
    </row>
    <row r="393" ht="15.75" customHeight="1">
      <c r="E393" s="8"/>
    </row>
    <row r="394" ht="15.75" customHeight="1">
      <c r="E394" s="8"/>
    </row>
    <row r="395" ht="15.75" customHeight="1">
      <c r="E395" s="8"/>
    </row>
    <row r="396" ht="15.75" customHeight="1">
      <c r="E396" s="8"/>
    </row>
    <row r="397" ht="15.75" customHeight="1">
      <c r="E397" s="8"/>
    </row>
    <row r="398" ht="15.75" customHeight="1">
      <c r="E398" s="8"/>
    </row>
    <row r="399" ht="15.75" customHeight="1">
      <c r="E399" s="8"/>
    </row>
    <row r="400" ht="15.75" customHeight="1">
      <c r="E400" s="8"/>
    </row>
    <row r="401" ht="15.75" customHeight="1">
      <c r="E401" s="8"/>
    </row>
    <row r="402" ht="15.75" customHeight="1">
      <c r="E402" s="8"/>
    </row>
    <row r="403" ht="15.75" customHeight="1">
      <c r="E403" s="8"/>
    </row>
    <row r="404" ht="15.75" customHeight="1">
      <c r="E404" s="8"/>
    </row>
    <row r="405" ht="15.75" customHeight="1">
      <c r="E405" s="8"/>
    </row>
    <row r="406" ht="15.75" customHeight="1">
      <c r="E406" s="8"/>
    </row>
    <row r="407" ht="15.75" customHeight="1">
      <c r="E407" s="8"/>
    </row>
    <row r="408" ht="15.75" customHeight="1">
      <c r="E408" s="8"/>
    </row>
    <row r="409" ht="15.75" customHeight="1">
      <c r="E409" s="8"/>
    </row>
    <row r="410" ht="15.75" customHeight="1">
      <c r="E410" s="8"/>
    </row>
    <row r="411" ht="15.75" customHeight="1">
      <c r="E411" s="8"/>
    </row>
    <row r="412" ht="15.75" customHeight="1">
      <c r="E412" s="8"/>
    </row>
    <row r="413" ht="15.75" customHeight="1">
      <c r="E413" s="8"/>
    </row>
    <row r="414" ht="15.75" customHeight="1">
      <c r="E414" s="8"/>
    </row>
    <row r="415" ht="15.75" customHeight="1">
      <c r="E415" s="8"/>
    </row>
    <row r="416" ht="15.75" customHeight="1">
      <c r="E416" s="8"/>
    </row>
    <row r="417" ht="15.75" customHeight="1">
      <c r="E417" s="8"/>
    </row>
    <row r="418" ht="15.75" customHeight="1">
      <c r="E418" s="8"/>
    </row>
    <row r="419" ht="15.75" customHeight="1">
      <c r="E419" s="8"/>
    </row>
    <row r="420" ht="15.75" customHeight="1">
      <c r="E420" s="8"/>
    </row>
    <row r="421" ht="15.75" customHeight="1">
      <c r="E421" s="8"/>
    </row>
    <row r="422" ht="15.75" customHeight="1">
      <c r="E422" s="8"/>
    </row>
    <row r="423" ht="15.75" customHeight="1">
      <c r="E423" s="8"/>
    </row>
    <row r="424" ht="15.75" customHeight="1">
      <c r="E424" s="8"/>
    </row>
    <row r="425" ht="15.75" customHeight="1">
      <c r="E425" s="8"/>
    </row>
    <row r="426" ht="15.75" customHeight="1">
      <c r="E426" s="8"/>
    </row>
    <row r="427" ht="15.75" customHeight="1">
      <c r="E427" s="8"/>
    </row>
    <row r="428" ht="15.75" customHeight="1">
      <c r="E428" s="8"/>
    </row>
    <row r="429" ht="15.75" customHeight="1">
      <c r="E429" s="8"/>
    </row>
    <row r="430" ht="15.75" customHeight="1">
      <c r="E430" s="8"/>
    </row>
    <row r="431" ht="15.75" customHeight="1">
      <c r="E431" s="8"/>
    </row>
    <row r="432" ht="15.75" customHeight="1">
      <c r="E432" s="8"/>
    </row>
    <row r="433" ht="15.75" customHeight="1">
      <c r="E433" s="8"/>
    </row>
    <row r="434" ht="15.75" customHeight="1">
      <c r="E434" s="8"/>
    </row>
    <row r="435" ht="15.75" customHeight="1">
      <c r="E435" s="8"/>
    </row>
    <row r="436" ht="15.75" customHeight="1">
      <c r="E436" s="8"/>
    </row>
    <row r="437" ht="15.75" customHeight="1">
      <c r="E437" s="8"/>
    </row>
    <row r="438" ht="15.75" customHeight="1">
      <c r="E438" s="8"/>
    </row>
    <row r="439" ht="15.75" customHeight="1">
      <c r="E439" s="8"/>
    </row>
    <row r="440" ht="15.75" customHeight="1">
      <c r="E440" s="8"/>
    </row>
    <row r="441" ht="15.75" customHeight="1">
      <c r="E441" s="8"/>
    </row>
    <row r="442" ht="15.75" customHeight="1">
      <c r="E442" s="8"/>
    </row>
    <row r="443" ht="15.75" customHeight="1">
      <c r="E443" s="8"/>
    </row>
    <row r="444" ht="15.75" customHeight="1">
      <c r="E444" s="8"/>
    </row>
    <row r="445" ht="15.75" customHeight="1">
      <c r="E445" s="8"/>
    </row>
    <row r="446" ht="15.75" customHeight="1">
      <c r="E446" s="8"/>
    </row>
    <row r="447" ht="15.75" customHeight="1">
      <c r="E447" s="8"/>
    </row>
    <row r="448" ht="15.75" customHeight="1">
      <c r="E448" s="8"/>
    </row>
    <row r="449" ht="15.75" customHeight="1">
      <c r="E449" s="8"/>
    </row>
    <row r="450" ht="15.75" customHeight="1">
      <c r="E450" s="8"/>
    </row>
    <row r="451" ht="15.75" customHeight="1">
      <c r="E451" s="8"/>
    </row>
    <row r="452" ht="15.75" customHeight="1">
      <c r="E452" s="8"/>
    </row>
    <row r="453" ht="15.75" customHeight="1">
      <c r="E453" s="8"/>
    </row>
    <row r="454" ht="15.75" customHeight="1">
      <c r="E454" s="8"/>
    </row>
    <row r="455" ht="15.75" customHeight="1">
      <c r="E455" s="8"/>
    </row>
    <row r="456" ht="15.75" customHeight="1">
      <c r="E456" s="8"/>
    </row>
    <row r="457" ht="15.75" customHeight="1">
      <c r="E457" s="8"/>
    </row>
    <row r="458" ht="15.75" customHeight="1">
      <c r="E458" s="8"/>
    </row>
    <row r="459" ht="15.75" customHeight="1">
      <c r="E459" s="8"/>
    </row>
    <row r="460" ht="15.75" customHeight="1">
      <c r="E460" s="8"/>
    </row>
    <row r="461" ht="15.75" customHeight="1">
      <c r="E461" s="8"/>
    </row>
    <row r="462" ht="15.75" customHeight="1">
      <c r="E462" s="8"/>
    </row>
    <row r="463" ht="15.75" customHeight="1">
      <c r="E463" s="8"/>
    </row>
    <row r="464" ht="15.75" customHeight="1">
      <c r="E464" s="8"/>
    </row>
    <row r="465" ht="15.75" customHeight="1">
      <c r="E465" s="8"/>
    </row>
    <row r="466" ht="15.75" customHeight="1">
      <c r="E466" s="8"/>
    </row>
    <row r="467" ht="15.75" customHeight="1">
      <c r="E467" s="8"/>
    </row>
    <row r="468" ht="15.75" customHeight="1">
      <c r="E468" s="8"/>
    </row>
    <row r="469" ht="15.75" customHeight="1">
      <c r="E469" s="8"/>
    </row>
    <row r="470" ht="15.75" customHeight="1">
      <c r="E470" s="8"/>
    </row>
    <row r="471" ht="15.75" customHeight="1">
      <c r="E471" s="8"/>
    </row>
    <row r="472" ht="15.75" customHeight="1">
      <c r="E472" s="8"/>
    </row>
    <row r="473" ht="15.75" customHeight="1">
      <c r="E473" s="8"/>
    </row>
    <row r="474" ht="15.75" customHeight="1">
      <c r="E474" s="8"/>
    </row>
    <row r="475" ht="15.75" customHeight="1">
      <c r="E475" s="8"/>
    </row>
    <row r="476" ht="15.75" customHeight="1">
      <c r="E476" s="8"/>
    </row>
    <row r="477" ht="15.75" customHeight="1">
      <c r="E477" s="8"/>
    </row>
    <row r="478" ht="15.75" customHeight="1">
      <c r="E478" s="8"/>
    </row>
    <row r="479" ht="15.75" customHeight="1">
      <c r="E479" s="8"/>
    </row>
    <row r="480" ht="15.75" customHeight="1">
      <c r="E480" s="8"/>
    </row>
    <row r="481" ht="15.75" customHeight="1">
      <c r="E481" s="8"/>
    </row>
    <row r="482" ht="15.75" customHeight="1">
      <c r="E482" s="8"/>
    </row>
    <row r="483" ht="15.75" customHeight="1">
      <c r="E483" s="8"/>
    </row>
    <row r="484" ht="15.75" customHeight="1">
      <c r="E484" s="8"/>
    </row>
    <row r="485" ht="15.75" customHeight="1">
      <c r="E485" s="8"/>
    </row>
    <row r="486" ht="15.75" customHeight="1">
      <c r="E486" s="8"/>
    </row>
    <row r="487" ht="15.75" customHeight="1">
      <c r="E487" s="8"/>
    </row>
    <row r="488" ht="15.75" customHeight="1">
      <c r="E488" s="8"/>
    </row>
    <row r="489" ht="15.75" customHeight="1">
      <c r="E489" s="8"/>
    </row>
    <row r="490" ht="15.75" customHeight="1">
      <c r="E490" s="8"/>
    </row>
    <row r="491" ht="15.75" customHeight="1">
      <c r="E491" s="8"/>
    </row>
    <row r="492" ht="15.75" customHeight="1">
      <c r="E492" s="8"/>
    </row>
    <row r="493" ht="15.75" customHeight="1">
      <c r="E493" s="8"/>
    </row>
    <row r="494" ht="15.75" customHeight="1">
      <c r="E494" s="8"/>
    </row>
    <row r="495" ht="15.75" customHeight="1">
      <c r="E495" s="8"/>
    </row>
    <row r="496" ht="15.75" customHeight="1">
      <c r="E496" s="8"/>
    </row>
    <row r="497" ht="15.75" customHeight="1">
      <c r="E497" s="8"/>
    </row>
    <row r="498" ht="15.75" customHeight="1">
      <c r="E498" s="8"/>
    </row>
    <row r="499" ht="15.75" customHeight="1">
      <c r="E499" s="8"/>
    </row>
    <row r="500" ht="15.75" customHeight="1">
      <c r="E500" s="8"/>
    </row>
    <row r="501" ht="15.75" customHeight="1">
      <c r="E501" s="8"/>
    </row>
    <row r="502" ht="15.75" customHeight="1">
      <c r="E502" s="8"/>
    </row>
    <row r="503" ht="15.75" customHeight="1">
      <c r="E503" s="8"/>
    </row>
    <row r="504" ht="15.75" customHeight="1">
      <c r="E504" s="8"/>
    </row>
    <row r="505" ht="15.75" customHeight="1">
      <c r="E505" s="8"/>
    </row>
    <row r="506" ht="15.75" customHeight="1">
      <c r="E506" s="8"/>
    </row>
    <row r="507" ht="15.75" customHeight="1">
      <c r="E507" s="8"/>
    </row>
    <row r="508" ht="15.75" customHeight="1">
      <c r="E508" s="8"/>
    </row>
    <row r="509" ht="15.75" customHeight="1">
      <c r="E509" s="8"/>
    </row>
    <row r="510" ht="15.75" customHeight="1">
      <c r="E510" s="8"/>
    </row>
    <row r="511" ht="15.75" customHeight="1">
      <c r="E511" s="8"/>
    </row>
    <row r="512" ht="15.75" customHeight="1">
      <c r="E512" s="8"/>
    </row>
    <row r="513" ht="15.75" customHeight="1">
      <c r="E513" s="8"/>
    </row>
    <row r="514" ht="15.75" customHeight="1">
      <c r="E514" s="8"/>
    </row>
    <row r="515" ht="15.75" customHeight="1">
      <c r="E515" s="8"/>
    </row>
    <row r="516" ht="15.75" customHeight="1">
      <c r="E516" s="8"/>
    </row>
    <row r="517" ht="15.75" customHeight="1">
      <c r="E517" s="8"/>
    </row>
    <row r="518" ht="15.75" customHeight="1">
      <c r="E518" s="8"/>
    </row>
    <row r="519" ht="15.75" customHeight="1">
      <c r="E519" s="8"/>
    </row>
    <row r="520" ht="15.75" customHeight="1">
      <c r="E520" s="8"/>
    </row>
    <row r="521" ht="15.75" customHeight="1">
      <c r="E521" s="8"/>
    </row>
    <row r="522" ht="15.75" customHeight="1">
      <c r="E522" s="8"/>
    </row>
    <row r="523" ht="15.75" customHeight="1">
      <c r="E523" s="8"/>
    </row>
    <row r="524" ht="15.75" customHeight="1">
      <c r="E524" s="8"/>
    </row>
    <row r="525" ht="15.75" customHeight="1">
      <c r="E525" s="8"/>
    </row>
    <row r="526" ht="15.75" customHeight="1">
      <c r="E526" s="8"/>
    </row>
    <row r="527" ht="15.75" customHeight="1">
      <c r="E527" s="8"/>
    </row>
    <row r="528" ht="15.75" customHeight="1">
      <c r="E528" s="8"/>
    </row>
    <row r="529" ht="15.75" customHeight="1">
      <c r="E529" s="8"/>
    </row>
    <row r="530" ht="15.75" customHeight="1">
      <c r="E530" s="8"/>
    </row>
    <row r="531" ht="15.75" customHeight="1">
      <c r="E531" s="8"/>
    </row>
    <row r="532" ht="15.75" customHeight="1">
      <c r="E532" s="8"/>
    </row>
    <row r="533" ht="15.75" customHeight="1">
      <c r="E533" s="8"/>
    </row>
    <row r="534" ht="15.75" customHeight="1">
      <c r="E534" s="8"/>
    </row>
    <row r="535" ht="15.75" customHeight="1">
      <c r="E535" s="8"/>
    </row>
    <row r="536" ht="15.75" customHeight="1">
      <c r="E536" s="8"/>
    </row>
    <row r="537" ht="15.75" customHeight="1">
      <c r="E537" s="8"/>
    </row>
    <row r="538" ht="15.75" customHeight="1">
      <c r="E538" s="8"/>
    </row>
    <row r="539" ht="15.75" customHeight="1">
      <c r="E539" s="8"/>
    </row>
    <row r="540" ht="15.75" customHeight="1">
      <c r="E540" s="8"/>
    </row>
    <row r="541" ht="15.75" customHeight="1">
      <c r="E541" s="8"/>
    </row>
    <row r="542" ht="15.75" customHeight="1">
      <c r="E542" s="8"/>
    </row>
    <row r="543" ht="15.75" customHeight="1">
      <c r="E543" s="8"/>
    </row>
    <row r="544" ht="15.75" customHeight="1">
      <c r="E544" s="8"/>
    </row>
    <row r="545" ht="15.75" customHeight="1">
      <c r="E545" s="8"/>
    </row>
    <row r="546" ht="15.75" customHeight="1">
      <c r="E546" s="8"/>
    </row>
    <row r="547" ht="15.75" customHeight="1">
      <c r="E547" s="8"/>
    </row>
    <row r="548" ht="15.75" customHeight="1">
      <c r="E548" s="8"/>
    </row>
    <row r="549" ht="15.75" customHeight="1">
      <c r="E549" s="8"/>
    </row>
    <row r="550" ht="15.75" customHeight="1">
      <c r="E550" s="8"/>
    </row>
    <row r="551" ht="15.75" customHeight="1">
      <c r="E551" s="8"/>
    </row>
    <row r="552" ht="15.75" customHeight="1">
      <c r="E552" s="8"/>
    </row>
    <row r="553" ht="15.75" customHeight="1">
      <c r="E553" s="8"/>
    </row>
    <row r="554" ht="15.75" customHeight="1">
      <c r="E554" s="8"/>
    </row>
    <row r="555" ht="15.75" customHeight="1">
      <c r="E555" s="8"/>
    </row>
    <row r="556" ht="15.75" customHeight="1">
      <c r="E556" s="8"/>
    </row>
    <row r="557" ht="15.75" customHeight="1">
      <c r="E557" s="8"/>
    </row>
    <row r="558" ht="15.75" customHeight="1">
      <c r="E558" s="8"/>
    </row>
    <row r="559" ht="15.75" customHeight="1">
      <c r="E559" s="8"/>
    </row>
    <row r="560" ht="15.75" customHeight="1">
      <c r="E560" s="8"/>
    </row>
    <row r="561" ht="15.75" customHeight="1">
      <c r="E561" s="8"/>
    </row>
    <row r="562" ht="15.75" customHeight="1">
      <c r="E562" s="8"/>
    </row>
    <row r="563" ht="15.75" customHeight="1">
      <c r="E563" s="8"/>
    </row>
    <row r="564" ht="15.75" customHeight="1">
      <c r="E564" s="8"/>
    </row>
    <row r="565" ht="15.75" customHeight="1">
      <c r="E565" s="8"/>
    </row>
    <row r="566" ht="15.75" customHeight="1">
      <c r="E566" s="8"/>
    </row>
    <row r="567" ht="15.75" customHeight="1">
      <c r="E567" s="8"/>
    </row>
    <row r="568" ht="15.75" customHeight="1">
      <c r="E568" s="8"/>
    </row>
    <row r="569" ht="15.75" customHeight="1">
      <c r="E569" s="8"/>
    </row>
    <row r="570" ht="15.75" customHeight="1">
      <c r="E570" s="8"/>
    </row>
    <row r="571" ht="15.75" customHeight="1">
      <c r="E571" s="8"/>
    </row>
    <row r="572" ht="15.75" customHeight="1">
      <c r="E572" s="8"/>
    </row>
    <row r="573" ht="15.75" customHeight="1">
      <c r="E573" s="8"/>
    </row>
    <row r="574" ht="15.75" customHeight="1">
      <c r="E574" s="8"/>
    </row>
    <row r="575" ht="15.75" customHeight="1">
      <c r="E575" s="8"/>
    </row>
    <row r="576" ht="15.75" customHeight="1">
      <c r="E576" s="8"/>
    </row>
    <row r="577" ht="15.75" customHeight="1">
      <c r="E577" s="8"/>
    </row>
    <row r="578" ht="15.75" customHeight="1">
      <c r="E578" s="8"/>
    </row>
    <row r="579" ht="15.75" customHeight="1">
      <c r="E579" s="8"/>
    </row>
    <row r="580" ht="15.75" customHeight="1">
      <c r="E580" s="8"/>
    </row>
    <row r="581" ht="15.75" customHeight="1">
      <c r="E581" s="8"/>
    </row>
    <row r="582" ht="15.75" customHeight="1">
      <c r="E582" s="8"/>
    </row>
    <row r="583" ht="15.75" customHeight="1">
      <c r="E583" s="8"/>
    </row>
    <row r="584" ht="15.75" customHeight="1">
      <c r="E584" s="8"/>
    </row>
    <row r="585" ht="15.75" customHeight="1">
      <c r="E585" s="8"/>
    </row>
    <row r="586" ht="15.75" customHeight="1">
      <c r="E586" s="8"/>
    </row>
    <row r="587" ht="15.75" customHeight="1">
      <c r="E587" s="8"/>
    </row>
    <row r="588" ht="15.75" customHeight="1">
      <c r="E588" s="8"/>
    </row>
    <row r="589" ht="15.75" customHeight="1">
      <c r="E589" s="8"/>
    </row>
    <row r="590" ht="15.75" customHeight="1">
      <c r="E590" s="8"/>
    </row>
    <row r="591" ht="15.75" customHeight="1">
      <c r="E591" s="8"/>
    </row>
    <row r="592" ht="15.75" customHeight="1">
      <c r="E592" s="8"/>
    </row>
    <row r="593" ht="15.75" customHeight="1">
      <c r="E593" s="8"/>
    </row>
    <row r="594" ht="15.75" customHeight="1">
      <c r="E594" s="8"/>
    </row>
    <row r="595" ht="15.75" customHeight="1">
      <c r="E595" s="8"/>
    </row>
    <row r="596" ht="15.75" customHeight="1">
      <c r="E596" s="8"/>
    </row>
    <row r="597" ht="15.75" customHeight="1">
      <c r="E597" s="8"/>
    </row>
    <row r="598" ht="15.75" customHeight="1">
      <c r="E598" s="8"/>
    </row>
    <row r="599" ht="15.75" customHeight="1">
      <c r="E599" s="8"/>
    </row>
    <row r="600" ht="15.75" customHeight="1">
      <c r="E600" s="8"/>
    </row>
    <row r="601" ht="15.75" customHeight="1">
      <c r="E601" s="8"/>
    </row>
    <row r="602" ht="15.75" customHeight="1">
      <c r="E602" s="8"/>
    </row>
    <row r="603" ht="15.75" customHeight="1">
      <c r="E603" s="8"/>
    </row>
    <row r="604" ht="15.75" customHeight="1">
      <c r="E604" s="8"/>
    </row>
    <row r="605" ht="15.75" customHeight="1">
      <c r="E605" s="8"/>
    </row>
    <row r="606" ht="15.75" customHeight="1">
      <c r="E606" s="8"/>
    </row>
    <row r="607" ht="15.75" customHeight="1">
      <c r="E607" s="8"/>
    </row>
    <row r="608" ht="15.75" customHeight="1">
      <c r="E608" s="8"/>
    </row>
    <row r="609" ht="15.75" customHeight="1">
      <c r="E609" s="8"/>
    </row>
    <row r="610" ht="15.75" customHeight="1">
      <c r="E610" s="8"/>
    </row>
    <row r="611" ht="15.75" customHeight="1">
      <c r="E611" s="8"/>
    </row>
    <row r="612" ht="15.75" customHeight="1">
      <c r="E612" s="8"/>
    </row>
    <row r="613" ht="15.75" customHeight="1">
      <c r="E613" s="8"/>
    </row>
    <row r="614" ht="15.75" customHeight="1">
      <c r="E614" s="8"/>
    </row>
    <row r="615" ht="15.75" customHeight="1">
      <c r="E615" s="8"/>
    </row>
    <row r="616" ht="15.75" customHeight="1">
      <c r="E616" s="8"/>
    </row>
    <row r="617" ht="15.75" customHeight="1">
      <c r="E617" s="8"/>
    </row>
    <row r="618" ht="15.75" customHeight="1">
      <c r="E618" s="8"/>
    </row>
    <row r="619" ht="15.75" customHeight="1">
      <c r="E619" s="8"/>
    </row>
    <row r="620" ht="15.75" customHeight="1">
      <c r="E620" s="8"/>
    </row>
    <row r="621" ht="15.75" customHeight="1">
      <c r="E621" s="8"/>
    </row>
    <row r="622" ht="15.75" customHeight="1">
      <c r="E622" s="8"/>
    </row>
    <row r="623" ht="15.75" customHeight="1">
      <c r="E623" s="8"/>
    </row>
    <row r="624" ht="15.75" customHeight="1">
      <c r="E624" s="8"/>
    </row>
    <row r="625" ht="15.75" customHeight="1">
      <c r="E625" s="8"/>
    </row>
    <row r="626" ht="15.75" customHeight="1">
      <c r="E626" s="8"/>
    </row>
    <row r="627" ht="15.75" customHeight="1">
      <c r="E627" s="8"/>
    </row>
    <row r="628" ht="15.75" customHeight="1">
      <c r="E628" s="8"/>
    </row>
    <row r="629" ht="15.75" customHeight="1">
      <c r="E629" s="8"/>
    </row>
    <row r="630" ht="15.75" customHeight="1">
      <c r="E630" s="8"/>
    </row>
    <row r="631" ht="15.75" customHeight="1">
      <c r="E631" s="8"/>
    </row>
    <row r="632" ht="15.75" customHeight="1">
      <c r="E632" s="8"/>
    </row>
    <row r="633" ht="15.75" customHeight="1">
      <c r="E633" s="8"/>
    </row>
    <row r="634" ht="15.75" customHeight="1">
      <c r="E634" s="8"/>
    </row>
    <row r="635" ht="15.75" customHeight="1">
      <c r="E635" s="8"/>
    </row>
    <row r="636" ht="15.75" customHeight="1">
      <c r="E636" s="8"/>
    </row>
    <row r="637" ht="15.75" customHeight="1">
      <c r="E637" s="8"/>
    </row>
    <row r="638" ht="15.75" customHeight="1">
      <c r="E638" s="8"/>
    </row>
    <row r="639" ht="15.75" customHeight="1">
      <c r="E639" s="8"/>
    </row>
    <row r="640" ht="15.75" customHeight="1">
      <c r="E640" s="8"/>
    </row>
    <row r="641" ht="15.75" customHeight="1">
      <c r="E641" s="8"/>
    </row>
    <row r="642" ht="15.75" customHeight="1">
      <c r="E642" s="8"/>
    </row>
    <row r="643" ht="15.75" customHeight="1">
      <c r="E643" s="8"/>
    </row>
    <row r="644" ht="15.75" customHeight="1">
      <c r="E644" s="8"/>
    </row>
    <row r="645" ht="15.75" customHeight="1">
      <c r="E645" s="8"/>
    </row>
    <row r="646" ht="15.75" customHeight="1">
      <c r="E646" s="8"/>
    </row>
    <row r="647" ht="15.75" customHeight="1">
      <c r="E647" s="8"/>
    </row>
    <row r="648" ht="15.75" customHeight="1">
      <c r="E648" s="8"/>
    </row>
    <row r="649" ht="15.75" customHeight="1">
      <c r="E649" s="8"/>
    </row>
    <row r="650" ht="15.75" customHeight="1">
      <c r="E650" s="8"/>
    </row>
    <row r="651" ht="15.75" customHeight="1">
      <c r="E651" s="8"/>
    </row>
    <row r="652" ht="15.75" customHeight="1">
      <c r="E652" s="8"/>
    </row>
    <row r="653" ht="15.75" customHeight="1">
      <c r="E653" s="8"/>
    </row>
    <row r="654" ht="15.75" customHeight="1">
      <c r="E654" s="8"/>
    </row>
    <row r="655" ht="15.75" customHeight="1">
      <c r="E655" s="8"/>
    </row>
    <row r="656" ht="15.75" customHeight="1">
      <c r="E656" s="8"/>
    </row>
    <row r="657" ht="15.75" customHeight="1">
      <c r="E657" s="8"/>
    </row>
    <row r="658" ht="15.75" customHeight="1">
      <c r="E658" s="8"/>
    </row>
    <row r="659" ht="15.75" customHeight="1">
      <c r="E659" s="8"/>
    </row>
    <row r="660" ht="15.75" customHeight="1">
      <c r="E660" s="8"/>
    </row>
    <row r="661" ht="15.75" customHeight="1">
      <c r="E661" s="8"/>
    </row>
    <row r="662" ht="15.75" customHeight="1">
      <c r="E662" s="8"/>
    </row>
    <row r="663" ht="15.75" customHeight="1">
      <c r="E663" s="8"/>
    </row>
    <row r="664" ht="15.75" customHeight="1">
      <c r="E664" s="8"/>
    </row>
    <row r="665" ht="15.75" customHeight="1">
      <c r="E665" s="8"/>
    </row>
    <row r="666" ht="15.75" customHeight="1">
      <c r="E666" s="8"/>
    </row>
    <row r="667" ht="15.75" customHeight="1">
      <c r="E667" s="8"/>
    </row>
    <row r="668" ht="15.75" customHeight="1">
      <c r="E668" s="8"/>
    </row>
    <row r="669" ht="15.75" customHeight="1">
      <c r="E669" s="8"/>
    </row>
    <row r="670" ht="15.75" customHeight="1">
      <c r="E670" s="8"/>
    </row>
    <row r="671" ht="15.75" customHeight="1">
      <c r="E671" s="8"/>
    </row>
    <row r="672" ht="15.75" customHeight="1">
      <c r="E672" s="8"/>
    </row>
    <row r="673" ht="15.75" customHeight="1">
      <c r="E673" s="8"/>
    </row>
    <row r="674" ht="15.75" customHeight="1">
      <c r="E674" s="8"/>
    </row>
    <row r="675" ht="15.75" customHeight="1">
      <c r="E675" s="8"/>
    </row>
    <row r="676" ht="15.75" customHeight="1">
      <c r="E676" s="8"/>
    </row>
    <row r="677" ht="15.75" customHeight="1">
      <c r="E677" s="8"/>
    </row>
    <row r="678" ht="15.75" customHeight="1">
      <c r="E678" s="8"/>
    </row>
    <row r="679" ht="15.75" customHeight="1">
      <c r="E679" s="8"/>
    </row>
    <row r="680" ht="15.75" customHeight="1">
      <c r="E680" s="8"/>
    </row>
    <row r="681" ht="15.75" customHeight="1">
      <c r="E681" s="8"/>
    </row>
    <row r="682" ht="15.75" customHeight="1">
      <c r="E682" s="8"/>
    </row>
    <row r="683" ht="15.75" customHeight="1">
      <c r="E683" s="8"/>
    </row>
    <row r="684" ht="15.75" customHeight="1">
      <c r="E684" s="8"/>
    </row>
    <row r="685" ht="15.75" customHeight="1">
      <c r="E685" s="8"/>
    </row>
    <row r="686" ht="15.75" customHeight="1">
      <c r="E686" s="8"/>
    </row>
    <row r="687" ht="15.75" customHeight="1">
      <c r="E687" s="8"/>
    </row>
    <row r="688" ht="15.75" customHeight="1">
      <c r="E688" s="8"/>
    </row>
    <row r="689" ht="15.75" customHeight="1">
      <c r="E689" s="8"/>
    </row>
    <row r="690" ht="15.75" customHeight="1">
      <c r="E690" s="8"/>
    </row>
    <row r="691" ht="15.75" customHeight="1">
      <c r="E691" s="8"/>
    </row>
    <row r="692" ht="15.75" customHeight="1">
      <c r="E692" s="8"/>
    </row>
    <row r="693" ht="15.75" customHeight="1">
      <c r="E693" s="8"/>
    </row>
    <row r="694" ht="15.75" customHeight="1">
      <c r="E694" s="8"/>
    </row>
    <row r="695" ht="15.75" customHeight="1">
      <c r="E695" s="8"/>
    </row>
    <row r="696" ht="15.75" customHeight="1">
      <c r="E696" s="8"/>
    </row>
    <row r="697" ht="15.75" customHeight="1">
      <c r="E697" s="8"/>
    </row>
    <row r="698" ht="15.75" customHeight="1">
      <c r="E698" s="8"/>
    </row>
    <row r="699" ht="15.75" customHeight="1">
      <c r="E699" s="8"/>
    </row>
    <row r="700" ht="15.75" customHeight="1">
      <c r="E700" s="8"/>
    </row>
    <row r="701" ht="15.75" customHeight="1">
      <c r="E701" s="8"/>
    </row>
    <row r="702" ht="15.75" customHeight="1">
      <c r="E702" s="8"/>
    </row>
    <row r="703" ht="15.75" customHeight="1">
      <c r="E703" s="8"/>
    </row>
    <row r="704" ht="15.75" customHeight="1">
      <c r="E704" s="8"/>
    </row>
    <row r="705" ht="15.75" customHeight="1">
      <c r="E705" s="8"/>
    </row>
    <row r="706" ht="15.75" customHeight="1">
      <c r="E706" s="8"/>
    </row>
    <row r="707" ht="15.75" customHeight="1">
      <c r="E707" s="8"/>
    </row>
    <row r="708" ht="15.75" customHeight="1">
      <c r="E708" s="8"/>
    </row>
    <row r="709" ht="15.75" customHeight="1">
      <c r="E709" s="8"/>
    </row>
    <row r="710" ht="15.75" customHeight="1">
      <c r="E710" s="8"/>
    </row>
    <row r="711" ht="15.75" customHeight="1">
      <c r="E711" s="8"/>
    </row>
    <row r="712" ht="15.75" customHeight="1">
      <c r="E712" s="8"/>
    </row>
    <row r="713" ht="15.75" customHeight="1">
      <c r="E713" s="8"/>
    </row>
    <row r="714" ht="15.75" customHeight="1">
      <c r="E714" s="8"/>
    </row>
    <row r="715" ht="15.75" customHeight="1">
      <c r="E715" s="8"/>
    </row>
    <row r="716" ht="15.75" customHeight="1">
      <c r="E716" s="8"/>
    </row>
    <row r="717" ht="15.75" customHeight="1">
      <c r="E717" s="8"/>
    </row>
    <row r="718" ht="15.75" customHeight="1">
      <c r="E718" s="8"/>
    </row>
    <row r="719" ht="15.75" customHeight="1">
      <c r="E719" s="8"/>
    </row>
    <row r="720" ht="15.75" customHeight="1">
      <c r="E720" s="8"/>
    </row>
    <row r="721" ht="15.75" customHeight="1">
      <c r="E721" s="8"/>
    </row>
    <row r="722" ht="15.75" customHeight="1">
      <c r="E722" s="8"/>
    </row>
    <row r="723" ht="15.75" customHeight="1">
      <c r="E723" s="8"/>
    </row>
    <row r="724" ht="15.75" customHeight="1">
      <c r="E724" s="8"/>
    </row>
    <row r="725" ht="15.75" customHeight="1">
      <c r="E725" s="8"/>
    </row>
    <row r="726" ht="15.75" customHeight="1">
      <c r="E726" s="8"/>
    </row>
    <row r="727" ht="15.75" customHeight="1">
      <c r="E727" s="8"/>
    </row>
    <row r="728" ht="15.75" customHeight="1">
      <c r="E728" s="8"/>
    </row>
    <row r="729" ht="15.75" customHeight="1">
      <c r="E729" s="8"/>
    </row>
    <row r="730" ht="15.75" customHeight="1">
      <c r="E730" s="8"/>
    </row>
    <row r="731" ht="15.75" customHeight="1">
      <c r="E731" s="8"/>
    </row>
    <row r="732" ht="15.75" customHeight="1">
      <c r="E732" s="8"/>
    </row>
    <row r="733" ht="15.75" customHeight="1">
      <c r="E733" s="8"/>
    </row>
    <row r="734" ht="15.75" customHeight="1">
      <c r="E734" s="8"/>
    </row>
    <row r="735" ht="15.75" customHeight="1">
      <c r="E735" s="8"/>
    </row>
    <row r="736" ht="15.75" customHeight="1">
      <c r="E736" s="8"/>
    </row>
    <row r="737" ht="15.75" customHeight="1">
      <c r="E737" s="8"/>
    </row>
    <row r="738" ht="15.75" customHeight="1">
      <c r="E738" s="8"/>
    </row>
    <row r="739" ht="15.75" customHeight="1">
      <c r="E739" s="8"/>
    </row>
    <row r="740" ht="15.75" customHeight="1">
      <c r="E740" s="8"/>
    </row>
    <row r="741" ht="15.75" customHeight="1">
      <c r="E741" s="8"/>
    </row>
    <row r="742" ht="15.75" customHeight="1">
      <c r="E742" s="8"/>
    </row>
    <row r="743" ht="15.75" customHeight="1">
      <c r="E743" s="8"/>
    </row>
    <row r="744" ht="15.75" customHeight="1">
      <c r="E744" s="8"/>
    </row>
    <row r="745" ht="15.75" customHeight="1">
      <c r="E745" s="8"/>
    </row>
    <row r="746" ht="15.75" customHeight="1">
      <c r="E746" s="8"/>
    </row>
    <row r="747" ht="15.75" customHeight="1">
      <c r="E747" s="8"/>
    </row>
    <row r="748" ht="15.75" customHeight="1">
      <c r="E748" s="8"/>
    </row>
    <row r="749" ht="15.75" customHeight="1">
      <c r="E749" s="8"/>
    </row>
    <row r="750" ht="15.75" customHeight="1">
      <c r="E750" s="8"/>
    </row>
    <row r="751" ht="15.75" customHeight="1">
      <c r="E751" s="8"/>
    </row>
    <row r="752" ht="15.75" customHeight="1">
      <c r="E752" s="8"/>
    </row>
    <row r="753" ht="15.75" customHeight="1">
      <c r="E753" s="8"/>
    </row>
    <row r="754" ht="15.75" customHeight="1">
      <c r="E754" s="8"/>
    </row>
    <row r="755" ht="15.75" customHeight="1">
      <c r="E755" s="8"/>
    </row>
    <row r="756" ht="15.75" customHeight="1">
      <c r="E756" s="8"/>
    </row>
    <row r="757" ht="15.75" customHeight="1">
      <c r="E757" s="8"/>
    </row>
    <row r="758" ht="15.75" customHeight="1">
      <c r="E758" s="8"/>
    </row>
    <row r="759" ht="15.75" customHeight="1">
      <c r="E759" s="8"/>
    </row>
    <row r="760" ht="15.75" customHeight="1">
      <c r="E760" s="8"/>
    </row>
    <row r="761" ht="15.75" customHeight="1">
      <c r="E761" s="8"/>
    </row>
    <row r="762" ht="15.75" customHeight="1">
      <c r="E762" s="8"/>
    </row>
    <row r="763" ht="15.75" customHeight="1">
      <c r="E763" s="8"/>
    </row>
    <row r="764" ht="15.75" customHeight="1">
      <c r="E764" s="8"/>
    </row>
    <row r="765" ht="15.75" customHeight="1">
      <c r="E765" s="8"/>
    </row>
    <row r="766" ht="15.75" customHeight="1">
      <c r="E766" s="8"/>
    </row>
    <row r="767" ht="15.75" customHeight="1">
      <c r="E767" s="8"/>
    </row>
    <row r="768" ht="15.75" customHeight="1">
      <c r="E768" s="8"/>
    </row>
    <row r="769" ht="15.75" customHeight="1">
      <c r="E769" s="8"/>
    </row>
    <row r="770" ht="15.75" customHeight="1">
      <c r="E770" s="8"/>
    </row>
    <row r="771" ht="15.75" customHeight="1">
      <c r="E771" s="8"/>
    </row>
    <row r="772" ht="15.75" customHeight="1">
      <c r="E772" s="8"/>
    </row>
    <row r="773" ht="15.75" customHeight="1">
      <c r="E773" s="8"/>
    </row>
    <row r="774" ht="15.75" customHeight="1">
      <c r="E774" s="8"/>
    </row>
    <row r="775" ht="15.75" customHeight="1">
      <c r="E775" s="8"/>
    </row>
    <row r="776" ht="15.75" customHeight="1">
      <c r="E776" s="8"/>
    </row>
    <row r="777" ht="15.75" customHeight="1">
      <c r="E777" s="8"/>
    </row>
    <row r="778" ht="15.75" customHeight="1">
      <c r="E778" s="8"/>
    </row>
    <row r="779" ht="15.75" customHeight="1">
      <c r="E779" s="8"/>
    </row>
    <row r="780" ht="15.75" customHeight="1">
      <c r="E780" s="8"/>
    </row>
    <row r="781" ht="15.75" customHeight="1">
      <c r="E781" s="8"/>
    </row>
    <row r="782" ht="15.75" customHeight="1">
      <c r="E782" s="8"/>
    </row>
    <row r="783" ht="15.75" customHeight="1">
      <c r="E783" s="8"/>
    </row>
    <row r="784" ht="15.75" customHeight="1">
      <c r="E784" s="8"/>
    </row>
    <row r="785" ht="15.75" customHeight="1">
      <c r="E785" s="8"/>
    </row>
    <row r="786" ht="15.75" customHeight="1">
      <c r="E786" s="8"/>
    </row>
    <row r="787" ht="15.75" customHeight="1">
      <c r="E787" s="8"/>
    </row>
    <row r="788" ht="15.75" customHeight="1">
      <c r="E788" s="8"/>
    </row>
    <row r="789" ht="15.75" customHeight="1">
      <c r="E789" s="8"/>
    </row>
    <row r="790" ht="15.75" customHeight="1">
      <c r="E790" s="8"/>
    </row>
    <row r="791" ht="15.75" customHeight="1">
      <c r="E791" s="8"/>
    </row>
    <row r="792" ht="15.75" customHeight="1">
      <c r="E792" s="8"/>
    </row>
    <row r="793" ht="15.75" customHeight="1">
      <c r="E793" s="8"/>
    </row>
    <row r="794" ht="15.75" customHeight="1">
      <c r="E794" s="8"/>
    </row>
    <row r="795" ht="15.75" customHeight="1">
      <c r="E795" s="8"/>
    </row>
    <row r="796" ht="15.75" customHeight="1">
      <c r="E796" s="8"/>
    </row>
    <row r="797" ht="15.75" customHeight="1">
      <c r="E797" s="8"/>
    </row>
    <row r="798" ht="15.75" customHeight="1">
      <c r="E798" s="8"/>
    </row>
    <row r="799" ht="15.75" customHeight="1">
      <c r="E799" s="8"/>
    </row>
    <row r="800" ht="15.75" customHeight="1">
      <c r="E800" s="8"/>
    </row>
    <row r="801" ht="15.75" customHeight="1">
      <c r="E801" s="8"/>
    </row>
    <row r="802" ht="15.75" customHeight="1">
      <c r="E802" s="8"/>
    </row>
    <row r="803" ht="15.75" customHeight="1">
      <c r="E803" s="8"/>
    </row>
    <row r="804" ht="15.75" customHeight="1">
      <c r="E804" s="8"/>
    </row>
    <row r="805" ht="15.75" customHeight="1">
      <c r="E805" s="8"/>
    </row>
    <row r="806" ht="15.75" customHeight="1">
      <c r="E806" s="8"/>
    </row>
    <row r="807" ht="15.75" customHeight="1">
      <c r="E807" s="8"/>
    </row>
    <row r="808" ht="15.75" customHeight="1">
      <c r="E808" s="8"/>
    </row>
    <row r="809" ht="15.75" customHeight="1">
      <c r="E809" s="8"/>
    </row>
    <row r="810" ht="15.75" customHeight="1">
      <c r="E810" s="8"/>
    </row>
    <row r="811" ht="15.75" customHeight="1">
      <c r="E811" s="8"/>
    </row>
    <row r="812" ht="15.75" customHeight="1">
      <c r="E812" s="8"/>
    </row>
    <row r="813" ht="15.75" customHeight="1">
      <c r="E813" s="8"/>
    </row>
    <row r="814" ht="15.75" customHeight="1">
      <c r="E814" s="8"/>
    </row>
    <row r="815" ht="15.75" customHeight="1">
      <c r="E815" s="8"/>
    </row>
    <row r="816" ht="15.75" customHeight="1">
      <c r="E816" s="8"/>
    </row>
    <row r="817" ht="15.75" customHeight="1">
      <c r="E817" s="8"/>
    </row>
    <row r="818" ht="15.75" customHeight="1">
      <c r="E818" s="8"/>
    </row>
    <row r="819" ht="15.75" customHeight="1">
      <c r="E819" s="8"/>
    </row>
    <row r="820" ht="15.75" customHeight="1">
      <c r="E820" s="8"/>
    </row>
    <row r="821" ht="15.75" customHeight="1">
      <c r="E821" s="8"/>
    </row>
    <row r="822" ht="15.75" customHeight="1">
      <c r="E822" s="8"/>
    </row>
    <row r="823" ht="15.75" customHeight="1">
      <c r="E823" s="8"/>
    </row>
    <row r="824" ht="15.75" customHeight="1">
      <c r="E824" s="8"/>
    </row>
    <row r="825" ht="15.75" customHeight="1">
      <c r="E825" s="8"/>
    </row>
    <row r="826" ht="15.75" customHeight="1">
      <c r="E826" s="8"/>
    </row>
    <row r="827" ht="15.75" customHeight="1">
      <c r="E827" s="8"/>
    </row>
    <row r="828" ht="15.75" customHeight="1">
      <c r="E828" s="8"/>
    </row>
    <row r="829" ht="15.75" customHeight="1">
      <c r="E829" s="8"/>
    </row>
    <row r="830" ht="15.75" customHeight="1">
      <c r="E830" s="8"/>
    </row>
    <row r="831" ht="15.75" customHeight="1">
      <c r="E831" s="8"/>
    </row>
    <row r="832" ht="15.75" customHeight="1">
      <c r="E832" s="8"/>
    </row>
    <row r="833" ht="15.75" customHeight="1">
      <c r="E833" s="8"/>
    </row>
    <row r="834" ht="15.75" customHeight="1">
      <c r="E834" s="8"/>
    </row>
    <row r="835" ht="15.75" customHeight="1">
      <c r="E835" s="8"/>
    </row>
    <row r="836" ht="15.75" customHeight="1">
      <c r="E836" s="8"/>
    </row>
    <row r="837" ht="15.75" customHeight="1">
      <c r="E837" s="8"/>
    </row>
    <row r="838" ht="15.75" customHeight="1">
      <c r="E838" s="8"/>
    </row>
    <row r="839" ht="15.75" customHeight="1">
      <c r="E839" s="8"/>
    </row>
    <row r="840" ht="15.75" customHeight="1">
      <c r="E840" s="8"/>
    </row>
    <row r="841" ht="15.75" customHeight="1">
      <c r="E841" s="8"/>
    </row>
    <row r="842" ht="15.75" customHeight="1">
      <c r="E842" s="8"/>
    </row>
    <row r="843" ht="15.75" customHeight="1">
      <c r="E843" s="8"/>
    </row>
    <row r="844" ht="15.75" customHeight="1">
      <c r="E844" s="8"/>
    </row>
    <row r="845" ht="15.75" customHeight="1">
      <c r="E845" s="8"/>
    </row>
    <row r="846" ht="15.75" customHeight="1">
      <c r="E846" s="8"/>
    </row>
    <row r="847" ht="15.75" customHeight="1">
      <c r="E847" s="8"/>
    </row>
    <row r="848" ht="15.75" customHeight="1">
      <c r="E848" s="8"/>
    </row>
    <row r="849" ht="15.75" customHeight="1">
      <c r="E849" s="8"/>
    </row>
    <row r="850" ht="15.75" customHeight="1">
      <c r="E850" s="8"/>
    </row>
    <row r="851" ht="15.75" customHeight="1">
      <c r="E851" s="8"/>
    </row>
    <row r="852" ht="15.75" customHeight="1">
      <c r="E852" s="8"/>
    </row>
    <row r="853" ht="15.75" customHeight="1">
      <c r="E853" s="8"/>
    </row>
    <row r="854" ht="15.75" customHeight="1">
      <c r="E854" s="8"/>
    </row>
    <row r="855" ht="15.75" customHeight="1">
      <c r="E855" s="8"/>
    </row>
    <row r="856" ht="15.75" customHeight="1">
      <c r="E856" s="8"/>
    </row>
    <row r="857" ht="15.75" customHeight="1">
      <c r="E857" s="8"/>
    </row>
    <row r="858" ht="15.75" customHeight="1">
      <c r="E858" s="8"/>
    </row>
    <row r="859" ht="15.75" customHeight="1">
      <c r="E859" s="8"/>
    </row>
    <row r="860" ht="15.75" customHeight="1">
      <c r="E860" s="8"/>
    </row>
    <row r="861" ht="15.75" customHeight="1">
      <c r="E861" s="8"/>
    </row>
    <row r="862" ht="15.75" customHeight="1">
      <c r="E862" s="8"/>
    </row>
    <row r="863" ht="15.75" customHeight="1">
      <c r="E863" s="8"/>
    </row>
    <row r="864" ht="15.75" customHeight="1">
      <c r="E864" s="8"/>
    </row>
    <row r="865" ht="15.75" customHeight="1">
      <c r="E865" s="8"/>
    </row>
    <row r="866" ht="15.75" customHeight="1">
      <c r="E866" s="8"/>
    </row>
    <row r="867" ht="15.75" customHeight="1">
      <c r="E867" s="8"/>
    </row>
    <row r="868" ht="15.75" customHeight="1">
      <c r="E868" s="8"/>
    </row>
    <row r="869" ht="15.75" customHeight="1">
      <c r="E869" s="8"/>
    </row>
    <row r="870" ht="15.75" customHeight="1">
      <c r="E870" s="8"/>
    </row>
    <row r="871" ht="15.75" customHeight="1">
      <c r="E871" s="8"/>
    </row>
    <row r="872" ht="15.75" customHeight="1">
      <c r="E872" s="8"/>
    </row>
    <row r="873" ht="15.75" customHeight="1">
      <c r="E873" s="8"/>
    </row>
    <row r="874" ht="15.75" customHeight="1">
      <c r="E874" s="8"/>
    </row>
    <row r="875" ht="15.75" customHeight="1">
      <c r="E875" s="8"/>
    </row>
    <row r="876" ht="15.75" customHeight="1">
      <c r="E876" s="8"/>
    </row>
    <row r="877" ht="15.75" customHeight="1">
      <c r="E877" s="8"/>
    </row>
    <row r="878" ht="15.75" customHeight="1">
      <c r="E878" s="8"/>
    </row>
    <row r="879" ht="15.75" customHeight="1">
      <c r="E879" s="8"/>
    </row>
    <row r="880" ht="15.75" customHeight="1">
      <c r="E880" s="8"/>
    </row>
    <row r="881" ht="15.75" customHeight="1">
      <c r="E881" s="8"/>
    </row>
    <row r="882" ht="15.75" customHeight="1">
      <c r="E882" s="8"/>
    </row>
    <row r="883" ht="15.75" customHeight="1">
      <c r="E883" s="8"/>
    </row>
    <row r="884" ht="15.75" customHeight="1">
      <c r="E884" s="8"/>
    </row>
    <row r="885" ht="15.75" customHeight="1">
      <c r="E885" s="8"/>
    </row>
    <row r="886" ht="15.75" customHeight="1">
      <c r="E886" s="8"/>
    </row>
    <row r="887" ht="15.75" customHeight="1">
      <c r="E887" s="8"/>
    </row>
    <row r="888" ht="15.75" customHeight="1">
      <c r="E888" s="8"/>
    </row>
    <row r="889" ht="15.75" customHeight="1">
      <c r="E889" s="8"/>
    </row>
    <row r="890" ht="15.75" customHeight="1">
      <c r="E890" s="8"/>
    </row>
    <row r="891" ht="15.75" customHeight="1">
      <c r="E891" s="8"/>
    </row>
    <row r="892" ht="15.75" customHeight="1">
      <c r="E892" s="8"/>
    </row>
    <row r="893" ht="15.75" customHeight="1">
      <c r="E893" s="8"/>
    </row>
    <row r="894" ht="15.75" customHeight="1">
      <c r="E894" s="8"/>
    </row>
    <row r="895" ht="15.75" customHeight="1">
      <c r="E895" s="8"/>
    </row>
    <row r="896" ht="15.75" customHeight="1">
      <c r="E896" s="8"/>
    </row>
    <row r="897" ht="15.75" customHeight="1">
      <c r="E897" s="8"/>
    </row>
    <row r="898" ht="15.75" customHeight="1">
      <c r="E898" s="8"/>
    </row>
    <row r="899" ht="15.75" customHeight="1">
      <c r="E899" s="8"/>
    </row>
    <row r="900" ht="15.75" customHeight="1">
      <c r="E900" s="8"/>
    </row>
    <row r="901" ht="15.75" customHeight="1">
      <c r="E901" s="8"/>
    </row>
    <row r="902" ht="15.75" customHeight="1">
      <c r="E902" s="8"/>
    </row>
    <row r="903" ht="15.75" customHeight="1">
      <c r="E903" s="8"/>
    </row>
    <row r="904" ht="15.75" customHeight="1">
      <c r="E904" s="8"/>
    </row>
    <row r="905" ht="15.75" customHeight="1">
      <c r="E905" s="8"/>
    </row>
    <row r="906" ht="15.75" customHeight="1">
      <c r="E906" s="8"/>
    </row>
    <row r="907" ht="15.75" customHeight="1">
      <c r="E907" s="8"/>
    </row>
    <row r="908" ht="15.75" customHeight="1">
      <c r="E908" s="8"/>
    </row>
    <row r="909" ht="15.75" customHeight="1">
      <c r="E909" s="8"/>
    </row>
    <row r="910" ht="15.75" customHeight="1">
      <c r="E910" s="8"/>
    </row>
    <row r="911" ht="15.75" customHeight="1">
      <c r="E911" s="8"/>
    </row>
    <row r="912" ht="15.75" customHeight="1">
      <c r="E912" s="8"/>
    </row>
    <row r="913" ht="15.75" customHeight="1">
      <c r="E913" s="8"/>
    </row>
    <row r="914" ht="15.75" customHeight="1">
      <c r="E914" s="8"/>
    </row>
    <row r="915" ht="15.75" customHeight="1">
      <c r="E915" s="8"/>
    </row>
    <row r="916" ht="15.75" customHeight="1">
      <c r="E916" s="8"/>
    </row>
    <row r="917" ht="15.75" customHeight="1">
      <c r="E917" s="8"/>
    </row>
    <row r="918" ht="15.75" customHeight="1">
      <c r="E918" s="8"/>
    </row>
    <row r="919" ht="15.75" customHeight="1">
      <c r="E919" s="8"/>
    </row>
    <row r="920" ht="15.75" customHeight="1">
      <c r="E920" s="8"/>
    </row>
    <row r="921" ht="15.75" customHeight="1">
      <c r="E921" s="8"/>
    </row>
    <row r="922" ht="15.75" customHeight="1">
      <c r="E922" s="8"/>
    </row>
    <row r="923" ht="15.75" customHeight="1">
      <c r="E923" s="8"/>
    </row>
    <row r="924" ht="15.75" customHeight="1">
      <c r="E924" s="8"/>
    </row>
    <row r="925" ht="15.75" customHeight="1">
      <c r="E925" s="8"/>
    </row>
    <row r="926" ht="15.75" customHeight="1">
      <c r="E926" s="8"/>
    </row>
    <row r="927" ht="15.75" customHeight="1">
      <c r="E927" s="8"/>
    </row>
    <row r="928" ht="15.75" customHeight="1">
      <c r="E928" s="8"/>
    </row>
    <row r="929" ht="15.75" customHeight="1">
      <c r="E929" s="8"/>
    </row>
    <row r="930" ht="15.75" customHeight="1">
      <c r="E930" s="8"/>
    </row>
    <row r="931" ht="15.75" customHeight="1">
      <c r="E931" s="8"/>
    </row>
    <row r="932" ht="15.75" customHeight="1">
      <c r="E932" s="8"/>
    </row>
    <row r="933" ht="15.75" customHeight="1">
      <c r="E933" s="8"/>
    </row>
    <row r="934" ht="15.75" customHeight="1">
      <c r="E934" s="8"/>
    </row>
    <row r="935" ht="15.75" customHeight="1">
      <c r="E935" s="8"/>
    </row>
    <row r="936" ht="15.75" customHeight="1">
      <c r="E936" s="8"/>
    </row>
    <row r="937" ht="15.75" customHeight="1">
      <c r="E937" s="8"/>
    </row>
    <row r="938" ht="15.75" customHeight="1">
      <c r="E938" s="8"/>
    </row>
    <row r="939" ht="15.75" customHeight="1">
      <c r="E939" s="8"/>
    </row>
    <row r="940" ht="15.75" customHeight="1">
      <c r="E940" s="8"/>
    </row>
    <row r="941" ht="15.75" customHeight="1">
      <c r="E941" s="8"/>
    </row>
    <row r="942" ht="15.75" customHeight="1">
      <c r="E942" s="8"/>
    </row>
    <row r="943" ht="15.75" customHeight="1">
      <c r="E943" s="8"/>
    </row>
    <row r="944" ht="15.75" customHeight="1">
      <c r="E944" s="8"/>
    </row>
    <row r="945" ht="15.75" customHeight="1">
      <c r="E945" s="8"/>
    </row>
    <row r="946" ht="15.75" customHeight="1">
      <c r="E946" s="8"/>
    </row>
    <row r="947" ht="15.75" customHeight="1">
      <c r="E947" s="8"/>
    </row>
    <row r="948" ht="15.75" customHeight="1">
      <c r="E948" s="8"/>
    </row>
    <row r="949" ht="15.75" customHeight="1">
      <c r="E949" s="8"/>
    </row>
    <row r="950" ht="15.75" customHeight="1">
      <c r="E950" s="8"/>
    </row>
    <row r="951" ht="15.75" customHeight="1">
      <c r="E951" s="8"/>
    </row>
    <row r="952" ht="15.75" customHeight="1">
      <c r="E952" s="8"/>
    </row>
    <row r="953" ht="15.75" customHeight="1">
      <c r="E953" s="8"/>
    </row>
    <row r="954" ht="15.75" customHeight="1">
      <c r="E954" s="8"/>
    </row>
    <row r="955" ht="15.75" customHeight="1">
      <c r="E955" s="8"/>
    </row>
    <row r="956" ht="15.75" customHeight="1">
      <c r="E956" s="8"/>
    </row>
    <row r="957" ht="15.75" customHeight="1">
      <c r="E957" s="8"/>
    </row>
    <row r="958" ht="15.75" customHeight="1">
      <c r="E958" s="8"/>
    </row>
    <row r="959" ht="15.75" customHeight="1">
      <c r="E959" s="8"/>
    </row>
    <row r="960" ht="15.75" customHeight="1">
      <c r="E960" s="8"/>
    </row>
    <row r="961" ht="15.75" customHeight="1">
      <c r="E961" s="8"/>
    </row>
    <row r="962" ht="15.75" customHeight="1">
      <c r="E962" s="8"/>
    </row>
    <row r="963" ht="15.75" customHeight="1">
      <c r="E963" s="8"/>
    </row>
    <row r="964" ht="15.75" customHeight="1">
      <c r="E964" s="8"/>
    </row>
    <row r="965" ht="15.75" customHeight="1">
      <c r="E965" s="8"/>
    </row>
    <row r="966" ht="15.75" customHeight="1">
      <c r="E966" s="8"/>
    </row>
    <row r="967" ht="15.75" customHeight="1">
      <c r="E967" s="8"/>
    </row>
    <row r="968" ht="15.75" customHeight="1">
      <c r="E968" s="8"/>
    </row>
    <row r="969" ht="15.75" customHeight="1">
      <c r="E969" s="8"/>
    </row>
    <row r="970" ht="15.75" customHeight="1">
      <c r="E970" s="8"/>
    </row>
    <row r="971" ht="15.75" customHeight="1">
      <c r="E971" s="8"/>
    </row>
    <row r="972" ht="15.75" customHeight="1">
      <c r="E972" s="8"/>
    </row>
    <row r="973" ht="15.75" customHeight="1">
      <c r="E973" s="8"/>
    </row>
    <row r="974" ht="15.75" customHeight="1">
      <c r="E974" s="8"/>
    </row>
    <row r="975" ht="15.75" customHeight="1">
      <c r="E975" s="8"/>
    </row>
    <row r="976" ht="15.75" customHeight="1">
      <c r="E976" s="8"/>
    </row>
    <row r="977" ht="15.75" customHeight="1">
      <c r="E977" s="8"/>
    </row>
    <row r="978" ht="15.75" customHeight="1">
      <c r="E978" s="8"/>
    </row>
    <row r="979" ht="15.75" customHeight="1">
      <c r="E979" s="8"/>
    </row>
    <row r="980" ht="15.75" customHeight="1">
      <c r="E980" s="8"/>
    </row>
    <row r="981" ht="15.75" customHeight="1">
      <c r="E981" s="8"/>
    </row>
    <row r="982" ht="15.75" customHeight="1">
      <c r="E982" s="8"/>
    </row>
    <row r="983" ht="15.75" customHeight="1">
      <c r="E983" s="8"/>
    </row>
    <row r="984" ht="15.75" customHeight="1">
      <c r="E984" s="8"/>
    </row>
    <row r="985" ht="15.75" customHeight="1">
      <c r="E985" s="8"/>
    </row>
    <row r="986" ht="15.75" customHeight="1">
      <c r="E986" s="8"/>
    </row>
    <row r="987" ht="15.75" customHeight="1">
      <c r="E987" s="8"/>
    </row>
    <row r="988" ht="15.75" customHeight="1">
      <c r="E988" s="8"/>
    </row>
    <row r="989" ht="15.75" customHeight="1">
      <c r="E989" s="8"/>
    </row>
    <row r="990" ht="15.75" customHeight="1">
      <c r="E990" s="8"/>
    </row>
    <row r="991" ht="15.75" customHeight="1">
      <c r="E991" s="8"/>
    </row>
    <row r="992" ht="15.75" customHeight="1">
      <c r="E992" s="8"/>
    </row>
    <row r="993" ht="15.75" customHeight="1">
      <c r="E993" s="8"/>
    </row>
    <row r="994" ht="15.75" customHeight="1">
      <c r="E994" s="8"/>
    </row>
    <row r="995" ht="15.75" customHeight="1">
      <c r="E995" s="8"/>
    </row>
    <row r="996" ht="15.75" customHeight="1">
      <c r="E996" s="8"/>
    </row>
    <row r="997" ht="15.75" customHeight="1">
      <c r="E997" s="8"/>
    </row>
    <row r="998" ht="15.75" customHeight="1">
      <c r="E998" s="8"/>
    </row>
    <row r="999" ht="15.75" customHeight="1">
      <c r="E999" s="8"/>
    </row>
    <row r="1000" ht="15.75" customHeight="1">
      <c r="E1000" s="8"/>
    </row>
    <row r="1001" ht="15.75" customHeight="1">
      <c r="E1001" s="8"/>
    </row>
  </sheetData>
  <dataValidations>
    <dataValidation type="list" allowBlank="1" showErrorMessage="1" sqref="G2:G309">
      <formula1>'Data Validation'!$C$3:$C$20</formula1>
    </dataValidation>
    <dataValidation type="list" allowBlank="1" showErrorMessage="1" sqref="E2:E1001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.86"/>
    <col customWidth="1" min="3" max="3" width="9.0"/>
    <col customWidth="1" min="4" max="4" width="23.86"/>
    <col customWidth="1" min="5" max="5" width="23.43"/>
    <col customWidth="1" min="6" max="6" width="19.0"/>
    <col customWidth="1" min="7" max="7" width="23.57"/>
    <col customWidth="1" min="8" max="8" width="18.14"/>
    <col customWidth="1" min="9" max="9" width="14.86"/>
    <col customWidth="1" min="10" max="10" width="72.71"/>
    <col customWidth="1" min="11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18</v>
      </c>
      <c r="G1" s="1" t="s">
        <v>19</v>
      </c>
      <c r="H1" s="1" t="s">
        <v>20</v>
      </c>
      <c r="I1" s="1" t="s">
        <v>6</v>
      </c>
    </row>
    <row r="2">
      <c r="A2" s="14">
        <v>45601.0</v>
      </c>
      <c r="B2" s="8" t="str">
        <f t="shared" ref="B2:B62" si="1">TEXT(A2,"mmm-yy")</f>
        <v>Nov-24</v>
      </c>
      <c r="C2" s="13" t="s">
        <v>21</v>
      </c>
      <c r="D2" s="8" t="str">
        <f>if(C2=Step1_Inward!C2,DATEDIF(Step1_Inward!A2,A2, "Y") &amp; " Years, " &amp; DATEDIF(Step1_Inward!A2,A2, "YM") &amp; " Months, " &amp; DATEDIF(Step1_Inward!A2,A2, "MD") &amp; " Days","")</f>
        <v/>
      </c>
      <c r="E2" s="12" t="s">
        <v>11</v>
      </c>
      <c r="F2" s="11">
        <v>1580.0</v>
      </c>
      <c r="G2" s="11">
        <v>109.0</v>
      </c>
      <c r="H2" s="8">
        <f>SUM(F2:G2)</f>
        <v>1689</v>
      </c>
      <c r="I2" s="13" t="s">
        <v>22</v>
      </c>
    </row>
    <row r="3">
      <c r="A3" s="14">
        <v>45601.0</v>
      </c>
      <c r="B3" s="8" t="str">
        <f t="shared" si="1"/>
        <v>Nov-24</v>
      </c>
      <c r="C3" s="13" t="s">
        <v>21</v>
      </c>
      <c r="D3" s="8" t="str">
        <f>if(C3=Step1_Inward!C3,DATEDIF(Step1_Inward!A3,A3, "Y") &amp; " Years, " &amp; DATEDIF(Step1_Inward!A3,A3, "YM") &amp; " Months, " &amp; DATEDIF(Step1_Inward!A3,A3, "MD") &amp; " Days","")</f>
        <v/>
      </c>
      <c r="E3" s="12" t="s">
        <v>11</v>
      </c>
      <c r="F3" s="13">
        <v>506.0</v>
      </c>
      <c r="H3" s="13">
        <v>506.0</v>
      </c>
      <c r="I3" s="13" t="s">
        <v>12</v>
      </c>
    </row>
    <row r="4">
      <c r="A4" s="14">
        <v>45605.0</v>
      </c>
      <c r="B4" s="8" t="str">
        <f t="shared" si="1"/>
        <v>Nov-24</v>
      </c>
      <c r="C4" s="13" t="s">
        <v>21</v>
      </c>
      <c r="D4" s="8" t="str">
        <f>if(C4=Step1_Inward!C4,DATEDIF(Step1_Inward!A4,A4, "Y") &amp; " Years, " &amp; DATEDIF(Step1_Inward!A4,A4, "YM") &amp; " Months, " &amp; DATEDIF(Step1_Inward!A4,A4, "MD") &amp; " Days","")</f>
        <v/>
      </c>
      <c r="E4" s="12" t="s">
        <v>17</v>
      </c>
      <c r="F4" s="13">
        <v>142.0</v>
      </c>
      <c r="H4" s="13">
        <v>142.0</v>
      </c>
      <c r="I4" s="13" t="s">
        <v>23</v>
      </c>
    </row>
    <row r="5">
      <c r="A5" s="14">
        <v>45619.0</v>
      </c>
      <c r="B5" s="8" t="str">
        <f t="shared" si="1"/>
        <v>Nov-24</v>
      </c>
      <c r="C5" s="13" t="s">
        <v>10</v>
      </c>
      <c r="E5" s="12" t="s">
        <v>24</v>
      </c>
      <c r="F5" s="13">
        <v>234.0</v>
      </c>
      <c r="G5" s="13">
        <v>75.0</v>
      </c>
      <c r="H5" s="8">
        <f t="shared" ref="H5:H8" si="2">sum(F5+G5)</f>
        <v>309</v>
      </c>
      <c r="I5" s="13" t="s">
        <v>12</v>
      </c>
    </row>
    <row r="6">
      <c r="A6" s="14">
        <v>45621.0</v>
      </c>
      <c r="B6" s="8" t="str">
        <f t="shared" si="1"/>
        <v>Nov-24</v>
      </c>
      <c r="C6" s="13" t="s">
        <v>10</v>
      </c>
      <c r="E6" s="12" t="s">
        <v>24</v>
      </c>
      <c r="F6" s="13">
        <v>140.0</v>
      </c>
      <c r="G6" s="13">
        <v>79.0</v>
      </c>
      <c r="H6" s="8">
        <f t="shared" si="2"/>
        <v>219</v>
      </c>
      <c r="I6" s="13" t="s">
        <v>12</v>
      </c>
      <c r="J6" s="13" t="s">
        <v>25</v>
      </c>
    </row>
    <row r="7">
      <c r="A7" s="14">
        <v>45621.0</v>
      </c>
      <c r="B7" s="8" t="str">
        <f t="shared" si="1"/>
        <v>Nov-24</v>
      </c>
      <c r="C7" s="13" t="s">
        <v>10</v>
      </c>
      <c r="E7" s="12" t="s">
        <v>17</v>
      </c>
      <c r="F7" s="13">
        <v>442.0</v>
      </c>
      <c r="G7" s="13">
        <v>164.0</v>
      </c>
      <c r="H7" s="8">
        <f t="shared" si="2"/>
        <v>606</v>
      </c>
      <c r="I7" s="13" t="s">
        <v>12</v>
      </c>
      <c r="J7" s="13" t="s">
        <v>25</v>
      </c>
    </row>
    <row r="8">
      <c r="A8" s="14">
        <v>45621.0</v>
      </c>
      <c r="B8" s="8" t="str">
        <f t="shared" si="1"/>
        <v>Nov-24</v>
      </c>
      <c r="C8" s="13" t="s">
        <v>10</v>
      </c>
      <c r="E8" s="12" t="s">
        <v>15</v>
      </c>
      <c r="F8" s="13">
        <v>173.0</v>
      </c>
      <c r="G8" s="13">
        <v>60.0</v>
      </c>
      <c r="H8" s="8">
        <f t="shared" si="2"/>
        <v>233</v>
      </c>
      <c r="I8" s="13" t="s">
        <v>12</v>
      </c>
      <c r="J8" s="13" t="s">
        <v>25</v>
      </c>
    </row>
    <row r="9">
      <c r="A9" s="14">
        <v>45626.0</v>
      </c>
      <c r="B9" s="8" t="str">
        <f t="shared" si="1"/>
        <v>Nov-24</v>
      </c>
      <c r="C9" s="13" t="s">
        <v>26</v>
      </c>
      <c r="E9" s="12" t="s">
        <v>14</v>
      </c>
      <c r="F9" s="13">
        <v>344.0</v>
      </c>
      <c r="I9" s="13" t="s">
        <v>27</v>
      </c>
    </row>
    <row r="10">
      <c r="A10" s="14">
        <v>45626.0</v>
      </c>
      <c r="B10" s="8" t="str">
        <f t="shared" si="1"/>
        <v>Nov-24</v>
      </c>
      <c r="C10" s="13" t="s">
        <v>26</v>
      </c>
      <c r="E10" s="12" t="s">
        <v>28</v>
      </c>
      <c r="F10" s="13">
        <v>310.0</v>
      </c>
      <c r="I10" s="13" t="s">
        <v>27</v>
      </c>
    </row>
    <row r="11">
      <c r="A11" s="14">
        <v>45626.0</v>
      </c>
      <c r="B11" s="8" t="str">
        <f t="shared" si="1"/>
        <v>Nov-24</v>
      </c>
      <c r="C11" s="13" t="s">
        <v>26</v>
      </c>
      <c r="E11" s="12" t="s">
        <v>11</v>
      </c>
      <c r="F11" s="13">
        <v>459.0</v>
      </c>
      <c r="I11" s="13" t="s">
        <v>27</v>
      </c>
    </row>
    <row r="12">
      <c r="A12" s="14">
        <v>45626.0</v>
      </c>
      <c r="B12" s="8" t="str">
        <f t="shared" si="1"/>
        <v>Nov-24</v>
      </c>
      <c r="C12" s="13" t="s">
        <v>26</v>
      </c>
      <c r="E12" s="12" t="s">
        <v>11</v>
      </c>
      <c r="F12" s="13">
        <v>88.0</v>
      </c>
      <c r="I12" s="13" t="s">
        <v>27</v>
      </c>
      <c r="J12" s="13" t="s">
        <v>29</v>
      </c>
    </row>
    <row r="13">
      <c r="A13" s="14">
        <v>45626.0</v>
      </c>
      <c r="B13" s="8" t="str">
        <f t="shared" si="1"/>
        <v>Nov-24</v>
      </c>
      <c r="C13" s="13" t="s">
        <v>26</v>
      </c>
      <c r="E13" s="12" t="s">
        <v>14</v>
      </c>
      <c r="F13" s="13">
        <v>64.0</v>
      </c>
      <c r="I13" s="13" t="s">
        <v>27</v>
      </c>
      <c r="J13" s="13" t="s">
        <v>29</v>
      </c>
    </row>
    <row r="14">
      <c r="A14" s="14">
        <v>45626.0</v>
      </c>
      <c r="B14" s="8" t="str">
        <f t="shared" si="1"/>
        <v>Nov-24</v>
      </c>
      <c r="C14" s="13" t="s">
        <v>26</v>
      </c>
      <c r="E14" s="12" t="s">
        <v>30</v>
      </c>
      <c r="F14" s="13">
        <v>186.0</v>
      </c>
      <c r="I14" s="13" t="s">
        <v>27</v>
      </c>
    </row>
    <row r="15">
      <c r="A15" s="14">
        <v>45626.0</v>
      </c>
      <c r="B15" s="8" t="str">
        <f t="shared" si="1"/>
        <v>Nov-24</v>
      </c>
      <c r="C15" s="13" t="s">
        <v>26</v>
      </c>
      <c r="E15" s="12" t="s">
        <v>15</v>
      </c>
      <c r="F15" s="13">
        <v>163.0</v>
      </c>
      <c r="I15" s="13" t="s">
        <v>27</v>
      </c>
    </row>
    <row r="16">
      <c r="A16" s="14">
        <v>45626.0</v>
      </c>
      <c r="B16" s="8" t="str">
        <f t="shared" si="1"/>
        <v>Nov-24</v>
      </c>
      <c r="C16" s="13" t="s">
        <v>26</v>
      </c>
      <c r="E16" s="12" t="s">
        <v>24</v>
      </c>
      <c r="F16" s="13">
        <v>52.0</v>
      </c>
      <c r="I16" s="13" t="s">
        <v>27</v>
      </c>
    </row>
    <row r="17">
      <c r="A17" s="14">
        <v>45626.0</v>
      </c>
      <c r="B17" s="8" t="str">
        <f t="shared" si="1"/>
        <v>Nov-24</v>
      </c>
      <c r="C17" s="13" t="s">
        <v>26</v>
      </c>
      <c r="E17" s="12" t="s">
        <v>31</v>
      </c>
      <c r="F17" s="13">
        <v>192.0</v>
      </c>
      <c r="I17" s="13" t="s">
        <v>27</v>
      </c>
    </row>
    <row r="18">
      <c r="A18" s="14">
        <v>45626.0</v>
      </c>
      <c r="B18" s="8" t="str">
        <f t="shared" si="1"/>
        <v>Nov-24</v>
      </c>
      <c r="C18" s="13" t="s">
        <v>26</v>
      </c>
      <c r="E18" s="12" t="s">
        <v>24</v>
      </c>
      <c r="F18" s="13">
        <v>80.0</v>
      </c>
      <c r="I18" s="13" t="s">
        <v>27</v>
      </c>
      <c r="J18" s="13" t="s">
        <v>29</v>
      </c>
    </row>
    <row r="19">
      <c r="A19" s="14">
        <v>45626.0</v>
      </c>
      <c r="B19" s="8" t="str">
        <f t="shared" si="1"/>
        <v>Nov-24</v>
      </c>
      <c r="C19" s="13" t="s">
        <v>26</v>
      </c>
      <c r="E19" s="12" t="s">
        <v>24</v>
      </c>
      <c r="F19" s="13">
        <v>37.0</v>
      </c>
      <c r="I19" s="13" t="s">
        <v>27</v>
      </c>
    </row>
    <row r="20">
      <c r="A20" s="14">
        <v>45626.0</v>
      </c>
      <c r="B20" s="8" t="str">
        <f t="shared" si="1"/>
        <v>Nov-24</v>
      </c>
      <c r="C20" s="13" t="s">
        <v>26</v>
      </c>
      <c r="E20" s="12" t="s">
        <v>14</v>
      </c>
      <c r="F20" s="13">
        <v>381.0</v>
      </c>
      <c r="I20" s="13" t="s">
        <v>27</v>
      </c>
    </row>
    <row r="21" ht="15.75" customHeight="1">
      <c r="A21" s="14">
        <v>45628.0</v>
      </c>
      <c r="B21" s="8" t="str">
        <f t="shared" si="1"/>
        <v>Dec-24</v>
      </c>
      <c r="C21" s="13" t="s">
        <v>26</v>
      </c>
      <c r="E21" s="12" t="s">
        <v>17</v>
      </c>
      <c r="F21" s="13">
        <v>652.0</v>
      </c>
      <c r="I21" s="13" t="s">
        <v>32</v>
      </c>
      <c r="J21" s="13" t="s">
        <v>33</v>
      </c>
    </row>
    <row r="22" ht="15.75" customHeight="1">
      <c r="A22" s="14">
        <v>45629.0</v>
      </c>
      <c r="B22" s="8" t="str">
        <f t="shared" si="1"/>
        <v>Dec-24</v>
      </c>
      <c r="C22" s="13" t="s">
        <v>26</v>
      </c>
      <c r="E22" s="12" t="s">
        <v>17</v>
      </c>
      <c r="F22" s="13">
        <v>227.0</v>
      </c>
      <c r="G22" s="13">
        <v>19.0</v>
      </c>
      <c r="H22" s="8">
        <f>sum(F22+G22)</f>
        <v>246</v>
      </c>
      <c r="I22" s="13" t="s">
        <v>32</v>
      </c>
      <c r="J22" s="13" t="s">
        <v>34</v>
      </c>
    </row>
    <row r="23" ht="15.75" customHeight="1">
      <c r="A23" s="14">
        <v>45637.0</v>
      </c>
      <c r="B23" s="8" t="str">
        <f t="shared" si="1"/>
        <v>Dec-24</v>
      </c>
      <c r="C23" s="13" t="s">
        <v>35</v>
      </c>
      <c r="E23" s="12" t="s">
        <v>11</v>
      </c>
      <c r="F23" s="13">
        <v>1287.0</v>
      </c>
      <c r="I23" s="13" t="s">
        <v>12</v>
      </c>
    </row>
    <row r="24" ht="15.75" customHeight="1">
      <c r="A24" s="14">
        <v>45637.0</v>
      </c>
      <c r="B24" s="8" t="str">
        <f t="shared" si="1"/>
        <v>Dec-24</v>
      </c>
      <c r="C24" s="13" t="s">
        <v>35</v>
      </c>
      <c r="E24" s="12" t="s">
        <v>14</v>
      </c>
      <c r="F24" s="13">
        <v>707.0</v>
      </c>
      <c r="I24" s="13" t="s">
        <v>32</v>
      </c>
    </row>
    <row r="25" ht="15.75" customHeight="1">
      <c r="A25" s="14">
        <v>45638.0</v>
      </c>
      <c r="B25" s="8" t="str">
        <f t="shared" si="1"/>
        <v>Dec-24</v>
      </c>
      <c r="C25" s="13" t="s">
        <v>35</v>
      </c>
      <c r="E25" s="12" t="s">
        <v>15</v>
      </c>
      <c r="F25" s="13">
        <v>155.0</v>
      </c>
      <c r="G25" s="13">
        <v>13.0</v>
      </c>
      <c r="H25" s="8">
        <f t="shared" ref="H25:H30" si="3">sum(F25+G25)</f>
        <v>168</v>
      </c>
      <c r="I25" s="13" t="s">
        <v>12</v>
      </c>
    </row>
    <row r="26" ht="15.75" customHeight="1">
      <c r="A26" s="14">
        <v>45638.0</v>
      </c>
      <c r="B26" s="8" t="str">
        <f t="shared" si="1"/>
        <v>Dec-24</v>
      </c>
      <c r="C26" s="13" t="s">
        <v>35</v>
      </c>
      <c r="E26" s="12" t="s">
        <v>31</v>
      </c>
      <c r="F26" s="13">
        <v>158.0</v>
      </c>
      <c r="G26" s="13">
        <v>11.0</v>
      </c>
      <c r="H26" s="8">
        <f t="shared" si="3"/>
        <v>169</v>
      </c>
      <c r="I26" s="13" t="s">
        <v>12</v>
      </c>
    </row>
    <row r="27" ht="15.75" customHeight="1">
      <c r="A27" s="14">
        <v>45638.0</v>
      </c>
      <c r="B27" s="8" t="str">
        <f t="shared" si="1"/>
        <v>Dec-24</v>
      </c>
      <c r="C27" s="13" t="s">
        <v>35</v>
      </c>
      <c r="E27" s="12" t="s">
        <v>24</v>
      </c>
      <c r="F27" s="13">
        <v>72.0</v>
      </c>
      <c r="G27" s="13">
        <v>4.0</v>
      </c>
      <c r="H27" s="8">
        <f t="shared" si="3"/>
        <v>76</v>
      </c>
      <c r="I27" s="13" t="s">
        <v>12</v>
      </c>
    </row>
    <row r="28" ht="15.75" customHeight="1">
      <c r="A28" s="14">
        <v>45640.0</v>
      </c>
      <c r="B28" s="8" t="str">
        <f t="shared" si="1"/>
        <v>Dec-24</v>
      </c>
      <c r="C28" s="13" t="s">
        <v>35</v>
      </c>
      <c r="E28" s="12" t="s">
        <v>17</v>
      </c>
      <c r="F28" s="13">
        <v>1624.0</v>
      </c>
      <c r="G28" s="13">
        <v>100.0</v>
      </c>
      <c r="H28" s="8">
        <f t="shared" si="3"/>
        <v>1724</v>
      </c>
      <c r="I28" s="13" t="s">
        <v>22</v>
      </c>
      <c r="J28" s="13" t="s">
        <v>36</v>
      </c>
    </row>
    <row r="29" ht="15.75" customHeight="1">
      <c r="A29" s="14">
        <v>45642.0</v>
      </c>
      <c r="B29" s="8" t="str">
        <f t="shared" si="1"/>
        <v>Dec-24</v>
      </c>
      <c r="C29" s="13" t="s">
        <v>35</v>
      </c>
      <c r="E29" s="12" t="s">
        <v>17</v>
      </c>
      <c r="F29" s="13">
        <v>950.0</v>
      </c>
      <c r="G29" s="13">
        <v>48.0</v>
      </c>
      <c r="H29" s="8">
        <f t="shared" si="3"/>
        <v>998</v>
      </c>
      <c r="I29" s="13" t="s">
        <v>37</v>
      </c>
      <c r="J29" s="13" t="s">
        <v>38</v>
      </c>
    </row>
    <row r="30" ht="15.75" customHeight="1">
      <c r="A30" s="14">
        <v>45643.0</v>
      </c>
      <c r="B30" s="8" t="str">
        <f t="shared" si="1"/>
        <v>Dec-24</v>
      </c>
      <c r="C30" s="13" t="s">
        <v>35</v>
      </c>
      <c r="E30" s="12" t="s">
        <v>17</v>
      </c>
      <c r="F30" s="13">
        <v>149.0</v>
      </c>
      <c r="G30" s="13">
        <v>11.0</v>
      </c>
      <c r="H30" s="8">
        <f t="shared" si="3"/>
        <v>160</v>
      </c>
      <c r="I30" s="13" t="s">
        <v>23</v>
      </c>
    </row>
    <row r="31" ht="15.75" customHeight="1">
      <c r="A31" s="14">
        <v>45654.0</v>
      </c>
      <c r="B31" s="8" t="str">
        <f t="shared" si="1"/>
        <v>Dec-24</v>
      </c>
      <c r="E31" s="12" t="s">
        <v>11</v>
      </c>
      <c r="F31" s="13">
        <v>1672.0</v>
      </c>
      <c r="I31" s="13" t="s">
        <v>27</v>
      </c>
    </row>
    <row r="32" ht="15.75" customHeight="1">
      <c r="A32" s="14">
        <v>45654.0</v>
      </c>
      <c r="B32" s="8" t="str">
        <f t="shared" si="1"/>
        <v>Dec-24</v>
      </c>
      <c r="E32" s="12" t="s">
        <v>11</v>
      </c>
      <c r="F32" s="13">
        <v>416.0</v>
      </c>
      <c r="I32" s="13" t="s">
        <v>27</v>
      </c>
      <c r="J32" s="13" t="s">
        <v>39</v>
      </c>
    </row>
    <row r="33" ht="15.75" customHeight="1">
      <c r="A33" s="14">
        <v>45654.0</v>
      </c>
      <c r="B33" s="8" t="str">
        <f t="shared" si="1"/>
        <v>Dec-24</v>
      </c>
      <c r="E33" s="12" t="s">
        <v>30</v>
      </c>
      <c r="F33" s="13">
        <v>240.0</v>
      </c>
      <c r="I33" s="13" t="s">
        <v>27</v>
      </c>
    </row>
    <row r="34" ht="15.75" customHeight="1">
      <c r="A34" s="14">
        <v>45656.0</v>
      </c>
      <c r="B34" s="8" t="str">
        <f t="shared" si="1"/>
        <v>Dec-24</v>
      </c>
      <c r="C34" s="13" t="s">
        <v>40</v>
      </c>
      <c r="E34" s="12" t="s">
        <v>14</v>
      </c>
      <c r="F34" s="13">
        <v>1665.0</v>
      </c>
      <c r="I34" s="13" t="s">
        <v>37</v>
      </c>
    </row>
    <row r="35" ht="15.75" customHeight="1">
      <c r="A35" s="14">
        <v>45656.0</v>
      </c>
      <c r="B35" s="8" t="str">
        <f t="shared" si="1"/>
        <v>Dec-24</v>
      </c>
      <c r="C35" s="13" t="s">
        <v>40</v>
      </c>
      <c r="E35" s="12" t="s">
        <v>14</v>
      </c>
      <c r="F35" s="13">
        <v>120.0</v>
      </c>
      <c r="I35" s="13" t="s">
        <v>37</v>
      </c>
      <c r="J35" s="13" t="s">
        <v>39</v>
      </c>
    </row>
    <row r="36" ht="15.75" customHeight="1">
      <c r="A36" s="14">
        <v>45656.0</v>
      </c>
      <c r="B36" s="8" t="str">
        <f t="shared" si="1"/>
        <v>Dec-24</v>
      </c>
      <c r="C36" s="13" t="s">
        <v>40</v>
      </c>
      <c r="E36" s="12" t="s">
        <v>14</v>
      </c>
      <c r="F36" s="13">
        <v>140.0</v>
      </c>
      <c r="I36" s="13" t="s">
        <v>12</v>
      </c>
    </row>
    <row r="37" ht="15.75" customHeight="1">
      <c r="A37" s="14">
        <v>45668.0</v>
      </c>
      <c r="B37" s="8" t="str">
        <f t="shared" si="1"/>
        <v>Jan-25</v>
      </c>
      <c r="C37" s="13">
        <v>77.0</v>
      </c>
      <c r="E37" s="12" t="s">
        <v>14</v>
      </c>
      <c r="F37" s="13">
        <v>1011.0</v>
      </c>
      <c r="G37" s="13">
        <v>43.0</v>
      </c>
      <c r="I37" s="13" t="s">
        <v>27</v>
      </c>
      <c r="J37" s="13" t="s">
        <v>41</v>
      </c>
    </row>
    <row r="38" ht="15.75" customHeight="1">
      <c r="A38" s="14">
        <v>45678.0</v>
      </c>
      <c r="B38" s="8" t="str">
        <f t="shared" si="1"/>
        <v>Jan-25</v>
      </c>
      <c r="C38" s="13">
        <v>78.0</v>
      </c>
      <c r="E38" s="12" t="s">
        <v>14</v>
      </c>
      <c r="F38" s="13">
        <v>807.0</v>
      </c>
      <c r="I38" s="13" t="s">
        <v>27</v>
      </c>
    </row>
    <row r="39" ht="15.75" customHeight="1">
      <c r="A39" s="14">
        <v>45679.0</v>
      </c>
      <c r="B39" s="8" t="str">
        <f t="shared" si="1"/>
        <v>Jan-25</v>
      </c>
      <c r="C39" s="13">
        <v>78.0</v>
      </c>
      <c r="E39" s="12" t="s">
        <v>11</v>
      </c>
      <c r="F39" s="13">
        <v>350.0</v>
      </c>
      <c r="I39" s="13" t="s">
        <v>12</v>
      </c>
    </row>
    <row r="40" ht="15.75" customHeight="1">
      <c r="A40" s="14">
        <v>45680.0</v>
      </c>
      <c r="B40" s="8" t="str">
        <f t="shared" si="1"/>
        <v>Jan-25</v>
      </c>
      <c r="C40" s="13">
        <v>78.0</v>
      </c>
      <c r="E40" s="12" t="s">
        <v>17</v>
      </c>
      <c r="F40" s="13">
        <v>685.0</v>
      </c>
      <c r="G40" s="13">
        <v>185.0</v>
      </c>
      <c r="I40" s="13" t="s">
        <v>22</v>
      </c>
      <c r="J40" s="13" t="s">
        <v>42</v>
      </c>
    </row>
    <row r="41" ht="15.75" customHeight="1">
      <c r="A41" s="14">
        <v>45679.0</v>
      </c>
      <c r="B41" s="8" t="str">
        <f t="shared" si="1"/>
        <v>Jan-25</v>
      </c>
      <c r="C41" s="13">
        <v>78.0</v>
      </c>
      <c r="E41" s="12" t="s">
        <v>11</v>
      </c>
      <c r="F41" s="13">
        <v>1150.0</v>
      </c>
      <c r="I41" s="13" t="s">
        <v>23</v>
      </c>
      <c r="J41" s="13" t="s">
        <v>43</v>
      </c>
    </row>
    <row r="42" ht="15.75" customHeight="1">
      <c r="A42" s="14">
        <v>45681.0</v>
      </c>
      <c r="B42" s="8" t="str">
        <f t="shared" si="1"/>
        <v>Jan-25</v>
      </c>
      <c r="C42" s="13">
        <v>78.0</v>
      </c>
      <c r="E42" s="12" t="s">
        <v>17</v>
      </c>
      <c r="F42" s="13">
        <v>410.0</v>
      </c>
      <c r="G42" s="13">
        <v>160.0</v>
      </c>
      <c r="H42" s="8">
        <f t="shared" ref="H42:H58" si="4">sum(F42+G42)</f>
        <v>570</v>
      </c>
      <c r="I42" s="13" t="s">
        <v>23</v>
      </c>
      <c r="J42" s="13" t="s">
        <v>44</v>
      </c>
    </row>
    <row r="43" ht="15.75" customHeight="1">
      <c r="A43" s="14">
        <v>45681.0</v>
      </c>
      <c r="B43" s="8" t="str">
        <f t="shared" si="1"/>
        <v>Jan-25</v>
      </c>
      <c r="C43" s="13">
        <v>78.0</v>
      </c>
      <c r="E43" s="12" t="s">
        <v>17</v>
      </c>
      <c r="F43" s="13">
        <v>381.0</v>
      </c>
      <c r="G43" s="13">
        <v>108.0</v>
      </c>
      <c r="H43" s="8">
        <f t="shared" si="4"/>
        <v>489</v>
      </c>
      <c r="I43" s="13" t="s">
        <v>23</v>
      </c>
      <c r="J43" s="13" t="s">
        <v>45</v>
      </c>
    </row>
    <row r="44" ht="15.75" customHeight="1">
      <c r="A44" s="14">
        <v>45686.0</v>
      </c>
      <c r="B44" s="8" t="str">
        <f t="shared" si="1"/>
        <v>Jan-25</v>
      </c>
      <c r="C44" s="13">
        <v>79.0</v>
      </c>
      <c r="E44" s="12" t="s">
        <v>14</v>
      </c>
      <c r="F44" s="13">
        <v>1535.0</v>
      </c>
      <c r="H44" s="8">
        <f t="shared" si="4"/>
        <v>1535</v>
      </c>
      <c r="I44" s="13" t="s">
        <v>46</v>
      </c>
      <c r="J44" s="13" t="s">
        <v>47</v>
      </c>
    </row>
    <row r="45" ht="15.75" customHeight="1">
      <c r="A45" s="14">
        <v>45686.0</v>
      </c>
      <c r="B45" s="8" t="str">
        <f t="shared" si="1"/>
        <v>Jan-25</v>
      </c>
      <c r="C45" s="13">
        <v>79.0</v>
      </c>
      <c r="E45" s="12" t="s">
        <v>15</v>
      </c>
      <c r="F45" s="13">
        <v>253.0</v>
      </c>
      <c r="H45" s="8">
        <f t="shared" si="4"/>
        <v>253</v>
      </c>
      <c r="I45" s="13" t="s">
        <v>46</v>
      </c>
      <c r="J45" s="13" t="s">
        <v>48</v>
      </c>
    </row>
    <row r="46" ht="15.75" customHeight="1">
      <c r="A46" s="14">
        <v>45687.0</v>
      </c>
      <c r="B46" s="8" t="str">
        <f t="shared" si="1"/>
        <v>Jan-25</v>
      </c>
      <c r="C46" s="13">
        <v>79.0</v>
      </c>
      <c r="E46" s="12" t="s">
        <v>11</v>
      </c>
      <c r="F46" s="13">
        <v>733.0</v>
      </c>
      <c r="H46" s="8">
        <f t="shared" si="4"/>
        <v>733</v>
      </c>
      <c r="I46" s="13" t="s">
        <v>49</v>
      </c>
      <c r="J46" s="13" t="s">
        <v>50</v>
      </c>
    </row>
    <row r="47" ht="15.75" customHeight="1">
      <c r="A47" s="14">
        <v>45687.0</v>
      </c>
      <c r="B47" s="8" t="str">
        <f t="shared" si="1"/>
        <v>Jan-25</v>
      </c>
      <c r="C47" s="13">
        <v>79.0</v>
      </c>
      <c r="E47" s="12" t="s">
        <v>15</v>
      </c>
      <c r="F47" s="13">
        <v>808.0</v>
      </c>
      <c r="H47" s="8">
        <f t="shared" si="4"/>
        <v>808</v>
      </c>
      <c r="I47" s="13" t="s">
        <v>12</v>
      </c>
    </row>
    <row r="48" ht="15.75" customHeight="1">
      <c r="A48" s="14">
        <v>45688.0</v>
      </c>
      <c r="B48" s="8" t="str">
        <f t="shared" si="1"/>
        <v>Jan-25</v>
      </c>
      <c r="C48" s="13">
        <v>79.0</v>
      </c>
      <c r="E48" s="12" t="s">
        <v>11</v>
      </c>
      <c r="F48" s="13">
        <v>741.0</v>
      </c>
      <c r="H48" s="8">
        <f t="shared" si="4"/>
        <v>741</v>
      </c>
      <c r="I48" s="13" t="s">
        <v>12</v>
      </c>
      <c r="J48" s="13" t="s">
        <v>51</v>
      </c>
    </row>
    <row r="49" ht="15.75" customHeight="1">
      <c r="A49" s="14">
        <v>45688.0</v>
      </c>
      <c r="B49" s="8" t="str">
        <f t="shared" si="1"/>
        <v>Jan-25</v>
      </c>
      <c r="C49" s="13">
        <v>79.0</v>
      </c>
      <c r="E49" s="12" t="s">
        <v>17</v>
      </c>
      <c r="F49" s="13">
        <v>1929.0</v>
      </c>
      <c r="H49" s="8">
        <f t="shared" si="4"/>
        <v>1929</v>
      </c>
      <c r="I49" s="13" t="s">
        <v>12</v>
      </c>
      <c r="J49" s="13" t="s">
        <v>51</v>
      </c>
    </row>
    <row r="50" ht="15.75" customHeight="1">
      <c r="A50" s="14">
        <v>45692.0</v>
      </c>
      <c r="B50" s="8" t="str">
        <f t="shared" si="1"/>
        <v>Feb-25</v>
      </c>
      <c r="C50" s="13">
        <v>79.0</v>
      </c>
      <c r="E50" s="12" t="s">
        <v>17</v>
      </c>
      <c r="F50" s="13">
        <v>990.0</v>
      </c>
      <c r="H50" s="8">
        <f t="shared" si="4"/>
        <v>990</v>
      </c>
      <c r="I50" s="13" t="s">
        <v>37</v>
      </c>
      <c r="J50" s="13" t="s">
        <v>52</v>
      </c>
    </row>
    <row r="51" ht="15.75" customHeight="1">
      <c r="A51" s="14">
        <v>45698.0</v>
      </c>
      <c r="B51" s="8" t="str">
        <f t="shared" si="1"/>
        <v>Feb-25</v>
      </c>
      <c r="C51" s="13">
        <v>80.0</v>
      </c>
      <c r="E51" s="12" t="s">
        <v>14</v>
      </c>
      <c r="F51" s="13">
        <v>1500.0</v>
      </c>
      <c r="H51" s="8">
        <f t="shared" si="4"/>
        <v>1500</v>
      </c>
      <c r="I51" s="13" t="s">
        <v>27</v>
      </c>
    </row>
    <row r="52" ht="15.75" customHeight="1">
      <c r="A52" s="14">
        <v>45699.0</v>
      </c>
      <c r="B52" s="8" t="str">
        <f t="shared" si="1"/>
        <v>Feb-25</v>
      </c>
      <c r="C52" s="13">
        <v>80.0</v>
      </c>
      <c r="E52" s="12" t="s">
        <v>24</v>
      </c>
      <c r="F52" s="13">
        <v>168.0</v>
      </c>
      <c r="H52" s="8">
        <f t="shared" si="4"/>
        <v>168</v>
      </c>
      <c r="I52" s="13" t="s">
        <v>53</v>
      </c>
    </row>
    <row r="53" ht="15.75" customHeight="1">
      <c r="A53" s="14">
        <v>45699.0</v>
      </c>
      <c r="B53" s="8" t="str">
        <f t="shared" si="1"/>
        <v>Feb-25</v>
      </c>
      <c r="C53" s="13">
        <v>80.0</v>
      </c>
      <c r="E53" s="12" t="s">
        <v>15</v>
      </c>
      <c r="F53" s="13">
        <v>161.0</v>
      </c>
      <c r="H53" s="8">
        <f t="shared" si="4"/>
        <v>161</v>
      </c>
      <c r="I53" s="13" t="s">
        <v>53</v>
      </c>
    </row>
    <row r="54" ht="15.75" customHeight="1">
      <c r="A54" s="14">
        <v>45699.0</v>
      </c>
      <c r="B54" s="8" t="str">
        <f t="shared" si="1"/>
        <v>Feb-25</v>
      </c>
      <c r="C54" s="13">
        <v>80.0</v>
      </c>
      <c r="E54" s="12" t="s">
        <v>31</v>
      </c>
      <c r="F54" s="13">
        <v>240.0</v>
      </c>
      <c r="H54" s="8">
        <f t="shared" si="4"/>
        <v>240</v>
      </c>
      <c r="I54" s="13" t="s">
        <v>53</v>
      </c>
    </row>
    <row r="55" ht="15.75" customHeight="1">
      <c r="A55" s="14">
        <v>45699.0</v>
      </c>
      <c r="B55" s="8" t="str">
        <f t="shared" si="1"/>
        <v>Feb-25</v>
      </c>
      <c r="C55" s="13">
        <v>80.0</v>
      </c>
      <c r="E55" s="12" t="s">
        <v>11</v>
      </c>
      <c r="F55" s="13">
        <v>916.0</v>
      </c>
      <c r="H55" s="8">
        <f t="shared" si="4"/>
        <v>916</v>
      </c>
      <c r="I55" s="13" t="s">
        <v>49</v>
      </c>
    </row>
    <row r="56" ht="15.75" customHeight="1">
      <c r="A56" s="14">
        <v>45703.0</v>
      </c>
      <c r="B56" s="8" t="str">
        <f t="shared" si="1"/>
        <v>Feb-25</v>
      </c>
      <c r="C56" s="13">
        <v>81.0</v>
      </c>
      <c r="E56" s="12" t="s">
        <v>14</v>
      </c>
      <c r="F56" s="13">
        <v>840.0</v>
      </c>
      <c r="H56" s="8">
        <f t="shared" si="4"/>
        <v>840</v>
      </c>
      <c r="I56" s="13" t="s">
        <v>37</v>
      </c>
      <c r="J56" s="13" t="s">
        <v>54</v>
      </c>
    </row>
    <row r="57" ht="15.75" customHeight="1">
      <c r="A57" s="14">
        <v>45705.0</v>
      </c>
      <c r="B57" s="8" t="str">
        <f t="shared" si="1"/>
        <v>Feb-25</v>
      </c>
      <c r="C57" s="13">
        <v>81.0</v>
      </c>
      <c r="E57" s="12" t="s">
        <v>11</v>
      </c>
      <c r="F57" s="13">
        <v>210.0</v>
      </c>
      <c r="H57" s="8">
        <f t="shared" si="4"/>
        <v>210</v>
      </c>
      <c r="I57" s="13" t="s">
        <v>27</v>
      </c>
    </row>
    <row r="58" ht="15.75" customHeight="1">
      <c r="A58" s="14">
        <v>45705.0</v>
      </c>
      <c r="B58" s="8" t="str">
        <f t="shared" si="1"/>
        <v>Feb-25</v>
      </c>
      <c r="C58" s="13">
        <v>81.0</v>
      </c>
      <c r="E58" s="12" t="s">
        <v>17</v>
      </c>
      <c r="F58" s="13">
        <v>650.0</v>
      </c>
      <c r="G58" s="13">
        <v>65.0</v>
      </c>
      <c r="H58" s="8">
        <f t="shared" si="4"/>
        <v>715</v>
      </c>
      <c r="I58" s="13" t="s">
        <v>27</v>
      </c>
    </row>
    <row r="59" ht="15.75" customHeight="1">
      <c r="A59" s="14">
        <v>45705.0</v>
      </c>
      <c r="B59" s="8" t="str">
        <f t="shared" si="1"/>
        <v>Feb-25</v>
      </c>
      <c r="C59" s="13">
        <v>81.0</v>
      </c>
      <c r="E59" s="12" t="s">
        <v>31</v>
      </c>
      <c r="F59" s="13">
        <v>254.0</v>
      </c>
      <c r="I59" s="13" t="s">
        <v>27</v>
      </c>
    </row>
    <row r="60" ht="15.75" customHeight="1">
      <c r="A60" s="14">
        <v>45705.0</v>
      </c>
      <c r="B60" s="8" t="str">
        <f t="shared" si="1"/>
        <v>Feb-25</v>
      </c>
      <c r="C60" s="13">
        <v>81.0</v>
      </c>
      <c r="E60" s="12" t="s">
        <v>15</v>
      </c>
      <c r="F60" s="13">
        <v>195.0</v>
      </c>
      <c r="I60" s="13" t="s">
        <v>27</v>
      </c>
    </row>
    <row r="61" ht="15.75" customHeight="1">
      <c r="A61" s="14">
        <v>45705.0</v>
      </c>
      <c r="B61" s="8" t="str">
        <f t="shared" si="1"/>
        <v>Feb-25</v>
      </c>
      <c r="E61" s="12" t="s">
        <v>24</v>
      </c>
      <c r="F61" s="13">
        <v>120.0</v>
      </c>
      <c r="I61" s="13" t="s">
        <v>27</v>
      </c>
    </row>
    <row r="62" ht="15.75" customHeight="1">
      <c r="A62" s="14">
        <v>45713.0</v>
      </c>
      <c r="B62" s="8" t="str">
        <f t="shared" si="1"/>
        <v>Feb-25</v>
      </c>
      <c r="C62" s="13">
        <v>82.0</v>
      </c>
      <c r="E62" s="12" t="s">
        <v>14</v>
      </c>
      <c r="F62" s="13">
        <v>340.0</v>
      </c>
      <c r="I62" s="13" t="s">
        <v>23</v>
      </c>
      <c r="J62" s="13" t="s">
        <v>36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62"/>
  <dataValidations>
    <dataValidation type="list" allowBlank="1" showErrorMessage="1" sqref="I2:I62">
      <formula1>'Data Validation'!$C$3:$C$20</formula1>
    </dataValidation>
    <dataValidation type="list" allowBlank="1" showErrorMessage="1" sqref="E2:E62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1.29"/>
    <col customWidth="1" min="3" max="3" width="8.57"/>
    <col customWidth="1" min="4" max="4" width="26.29"/>
    <col customWidth="1" min="5" max="5" width="23.43"/>
    <col customWidth="1" min="6" max="8" width="20.86"/>
    <col customWidth="1" min="9" max="9" width="14.86"/>
    <col customWidth="1" min="10" max="29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55</v>
      </c>
      <c r="G1" s="2" t="s">
        <v>56</v>
      </c>
      <c r="H1" s="2" t="s">
        <v>57</v>
      </c>
      <c r="I1" s="1" t="s">
        <v>6</v>
      </c>
    </row>
    <row r="2">
      <c r="A2" s="14">
        <v>45602.0</v>
      </c>
      <c r="B2" s="8" t="str">
        <f t="shared" ref="B2:B68" si="1">TEXT(A2,"mmm-yy")</f>
        <v>Nov-24</v>
      </c>
      <c r="D2" s="8" t="str">
        <f>if(C2=Step2_Segregation!C2,DATEDIF(Step2_Segregation!A2,Today(), "Y") &amp; " Years, " &amp; DATEDIF(Step2_Segregation!A2, Today(), "YM") &amp; " Months, " &amp; DATEDIF(Step2_Segregation!A2, Today(), "MD") &amp; " Days","")</f>
        <v/>
      </c>
      <c r="E2" s="12" t="s">
        <v>11</v>
      </c>
      <c r="F2" s="13">
        <v>1000.0</v>
      </c>
      <c r="G2" s="13">
        <v>180.0</v>
      </c>
      <c r="H2" s="8">
        <f t="shared" ref="H2:H67" si="2">SUM(F2:G2)</f>
        <v>1180</v>
      </c>
      <c r="I2" s="13" t="s">
        <v>58</v>
      </c>
    </row>
    <row r="3">
      <c r="A3" s="14">
        <v>45603.0</v>
      </c>
      <c r="B3" s="8" t="str">
        <f t="shared" si="1"/>
        <v>Nov-24</v>
      </c>
      <c r="E3" s="12" t="s">
        <v>11</v>
      </c>
      <c r="F3" s="13">
        <v>380.0</v>
      </c>
      <c r="G3" s="13">
        <v>20.0</v>
      </c>
      <c r="H3" s="8">
        <f t="shared" si="2"/>
        <v>400</v>
      </c>
      <c r="I3" s="13" t="s">
        <v>59</v>
      </c>
    </row>
    <row r="4">
      <c r="A4" s="14">
        <v>45603.0</v>
      </c>
      <c r="B4" s="8" t="str">
        <f t="shared" si="1"/>
        <v>Nov-24</v>
      </c>
      <c r="E4" s="12" t="s">
        <v>31</v>
      </c>
      <c r="F4" s="13">
        <v>650.0</v>
      </c>
      <c r="G4" s="13">
        <v>39.0</v>
      </c>
      <c r="H4" s="8">
        <f t="shared" si="2"/>
        <v>689</v>
      </c>
      <c r="I4" s="13" t="s">
        <v>59</v>
      </c>
    </row>
    <row r="5">
      <c r="A5" s="14">
        <v>45604.0</v>
      </c>
      <c r="B5" s="8" t="str">
        <f t="shared" si="1"/>
        <v>Nov-24</v>
      </c>
      <c r="E5" s="12" t="s">
        <v>31</v>
      </c>
      <c r="F5" s="13">
        <v>990.0</v>
      </c>
      <c r="G5" s="13">
        <v>120.0</v>
      </c>
      <c r="H5" s="8">
        <f t="shared" si="2"/>
        <v>1110</v>
      </c>
      <c r="I5" s="13" t="s">
        <v>59</v>
      </c>
    </row>
    <row r="6">
      <c r="A6" s="14">
        <v>45605.0</v>
      </c>
      <c r="B6" s="8" t="str">
        <f t="shared" si="1"/>
        <v>Nov-24</v>
      </c>
      <c r="E6" s="12" t="s">
        <v>14</v>
      </c>
      <c r="F6" s="13">
        <v>980.0</v>
      </c>
      <c r="G6" s="13">
        <v>185.0</v>
      </c>
      <c r="H6" s="8">
        <f t="shared" si="2"/>
        <v>1165</v>
      </c>
      <c r="I6" s="13" t="s">
        <v>59</v>
      </c>
    </row>
    <row r="7">
      <c r="A7" s="14">
        <v>45607.0</v>
      </c>
      <c r="B7" s="8" t="str">
        <f t="shared" si="1"/>
        <v>Nov-24</v>
      </c>
      <c r="E7" s="12" t="s">
        <v>14</v>
      </c>
      <c r="F7" s="13">
        <v>112.0</v>
      </c>
      <c r="G7" s="13">
        <v>12.0</v>
      </c>
      <c r="H7" s="8">
        <f t="shared" si="2"/>
        <v>124</v>
      </c>
      <c r="I7" s="13" t="s">
        <v>59</v>
      </c>
    </row>
    <row r="8">
      <c r="A8" s="14">
        <v>45607.0</v>
      </c>
      <c r="B8" s="8" t="str">
        <f t="shared" si="1"/>
        <v>Nov-24</v>
      </c>
      <c r="E8" s="12" t="s">
        <v>11</v>
      </c>
      <c r="F8" s="13">
        <v>600.0</v>
      </c>
      <c r="G8" s="13">
        <v>46.0</v>
      </c>
      <c r="H8" s="8">
        <f t="shared" si="2"/>
        <v>646</v>
      </c>
      <c r="I8" s="13" t="s">
        <v>59</v>
      </c>
    </row>
    <row r="9">
      <c r="A9" s="14">
        <v>45621.0</v>
      </c>
      <c r="B9" s="8" t="str">
        <f t="shared" si="1"/>
        <v>Nov-24</v>
      </c>
      <c r="C9" s="13">
        <v>72.0</v>
      </c>
      <c r="E9" s="12" t="s">
        <v>11</v>
      </c>
      <c r="F9" s="13">
        <v>297.0</v>
      </c>
      <c r="G9" s="13">
        <v>46.0</v>
      </c>
      <c r="H9" s="8">
        <f t="shared" si="2"/>
        <v>343</v>
      </c>
      <c r="I9" s="13" t="s">
        <v>59</v>
      </c>
    </row>
    <row r="10">
      <c r="A10" s="14">
        <v>45621.0</v>
      </c>
      <c r="B10" s="8" t="str">
        <f t="shared" si="1"/>
        <v>Nov-24</v>
      </c>
      <c r="C10" s="13">
        <v>72.0</v>
      </c>
      <c r="E10" s="12" t="s">
        <v>28</v>
      </c>
      <c r="F10" s="13">
        <v>118.0</v>
      </c>
      <c r="G10" s="13">
        <v>55.0</v>
      </c>
      <c r="H10" s="8">
        <f t="shared" si="2"/>
        <v>173</v>
      </c>
      <c r="I10" s="13" t="s">
        <v>59</v>
      </c>
    </row>
    <row r="11">
      <c r="A11" s="14">
        <v>45621.0</v>
      </c>
      <c r="B11" s="8" t="str">
        <f t="shared" si="1"/>
        <v>Nov-24</v>
      </c>
      <c r="C11" s="13">
        <v>72.0</v>
      </c>
      <c r="E11" s="12" t="s">
        <v>14</v>
      </c>
      <c r="F11" s="13">
        <v>147.0</v>
      </c>
      <c r="G11" s="13">
        <v>26.0</v>
      </c>
      <c r="H11" s="8">
        <f t="shared" si="2"/>
        <v>173</v>
      </c>
      <c r="I11" s="13" t="s">
        <v>59</v>
      </c>
    </row>
    <row r="12">
      <c r="A12" s="14">
        <v>45621.0</v>
      </c>
      <c r="B12" s="8" t="str">
        <f t="shared" si="1"/>
        <v>Nov-24</v>
      </c>
      <c r="C12" s="13">
        <v>72.0</v>
      </c>
      <c r="E12" s="12" t="s">
        <v>31</v>
      </c>
      <c r="F12" s="13">
        <v>80.0</v>
      </c>
      <c r="G12" s="13">
        <v>3.0</v>
      </c>
      <c r="H12" s="8">
        <f t="shared" si="2"/>
        <v>83</v>
      </c>
      <c r="I12" s="13" t="s">
        <v>59</v>
      </c>
    </row>
    <row r="13">
      <c r="A13" s="14">
        <v>45621.0</v>
      </c>
      <c r="B13" s="8" t="str">
        <f t="shared" si="1"/>
        <v>Nov-24</v>
      </c>
      <c r="C13" s="13">
        <v>72.0</v>
      </c>
      <c r="E13" s="12" t="s">
        <v>15</v>
      </c>
      <c r="F13" s="13">
        <v>66.0</v>
      </c>
      <c r="G13" s="13">
        <v>11.0</v>
      </c>
      <c r="H13" s="8">
        <f t="shared" si="2"/>
        <v>77</v>
      </c>
      <c r="I13" s="13" t="s">
        <v>59</v>
      </c>
    </row>
    <row r="14">
      <c r="A14" s="14">
        <v>45621.0</v>
      </c>
      <c r="B14" s="8" t="str">
        <f t="shared" si="1"/>
        <v>Nov-24</v>
      </c>
      <c r="C14" s="13">
        <v>72.0</v>
      </c>
      <c r="E14" s="12" t="s">
        <v>24</v>
      </c>
      <c r="F14" s="13">
        <v>4.0</v>
      </c>
      <c r="G14" s="13">
        <v>9.0</v>
      </c>
      <c r="H14" s="8">
        <f t="shared" si="2"/>
        <v>13</v>
      </c>
      <c r="I14" s="13" t="s">
        <v>59</v>
      </c>
    </row>
    <row r="15">
      <c r="A15" s="14">
        <v>45628.0</v>
      </c>
      <c r="B15" s="8" t="str">
        <f t="shared" si="1"/>
        <v>Dec-24</v>
      </c>
      <c r="C15" s="13">
        <v>73.0</v>
      </c>
      <c r="E15" s="12" t="s">
        <v>11</v>
      </c>
      <c r="F15" s="13">
        <v>417.0</v>
      </c>
      <c r="G15" s="13">
        <v>26.0</v>
      </c>
      <c r="H15" s="8">
        <f t="shared" si="2"/>
        <v>443</v>
      </c>
      <c r="I15" s="13" t="s">
        <v>59</v>
      </c>
    </row>
    <row r="16">
      <c r="A16" s="14">
        <v>45628.0</v>
      </c>
      <c r="B16" s="8" t="str">
        <f t="shared" si="1"/>
        <v>Dec-24</v>
      </c>
      <c r="C16" s="13">
        <v>73.0</v>
      </c>
      <c r="E16" s="12" t="s">
        <v>14</v>
      </c>
      <c r="F16" s="13">
        <v>311.0</v>
      </c>
      <c r="G16" s="13">
        <v>6.0</v>
      </c>
      <c r="H16" s="8">
        <f t="shared" si="2"/>
        <v>317</v>
      </c>
      <c r="I16" s="13" t="s">
        <v>59</v>
      </c>
    </row>
    <row r="17">
      <c r="A17" s="14">
        <v>45628.0</v>
      </c>
      <c r="B17" s="8" t="str">
        <f t="shared" si="1"/>
        <v>Dec-24</v>
      </c>
      <c r="C17" s="13">
        <v>73.0</v>
      </c>
      <c r="E17" s="12" t="s">
        <v>28</v>
      </c>
      <c r="F17" s="13">
        <v>341.0</v>
      </c>
      <c r="G17" s="13">
        <v>2.0</v>
      </c>
      <c r="H17" s="8">
        <f t="shared" si="2"/>
        <v>343</v>
      </c>
      <c r="I17" s="13" t="s">
        <v>59</v>
      </c>
    </row>
    <row r="18">
      <c r="A18" s="14">
        <v>45629.0</v>
      </c>
      <c r="B18" s="8" t="str">
        <f t="shared" si="1"/>
        <v>Dec-24</v>
      </c>
      <c r="C18" s="13">
        <v>73.0</v>
      </c>
      <c r="E18" s="12" t="s">
        <v>24</v>
      </c>
      <c r="F18" s="13">
        <v>79.0</v>
      </c>
      <c r="G18" s="13">
        <v>1.0</v>
      </c>
      <c r="H18" s="8">
        <f t="shared" si="2"/>
        <v>80</v>
      </c>
      <c r="I18" s="13" t="s">
        <v>59</v>
      </c>
    </row>
    <row r="19">
      <c r="A19" s="14">
        <v>45629.0</v>
      </c>
      <c r="B19" s="8" t="str">
        <f t="shared" si="1"/>
        <v>Dec-24</v>
      </c>
      <c r="C19" s="13">
        <v>73.0</v>
      </c>
      <c r="E19" s="12" t="s">
        <v>15</v>
      </c>
      <c r="F19" s="13">
        <v>103.0</v>
      </c>
      <c r="G19" s="13">
        <v>2.0</v>
      </c>
      <c r="H19" s="8">
        <f t="shared" si="2"/>
        <v>105</v>
      </c>
      <c r="I19" s="13" t="s">
        <v>59</v>
      </c>
    </row>
    <row r="20">
      <c r="A20" s="14">
        <v>45629.0</v>
      </c>
      <c r="B20" s="8" t="str">
        <f t="shared" si="1"/>
        <v>Dec-24</v>
      </c>
      <c r="C20" s="13">
        <v>73.0</v>
      </c>
      <c r="E20" s="12" t="s">
        <v>31</v>
      </c>
      <c r="F20" s="13">
        <v>167.0</v>
      </c>
      <c r="H20" s="8">
        <f t="shared" si="2"/>
        <v>167</v>
      </c>
      <c r="I20" s="13" t="s">
        <v>59</v>
      </c>
    </row>
    <row r="21" ht="15.75" customHeight="1">
      <c r="A21" s="14">
        <v>45638.0</v>
      </c>
      <c r="B21" s="8" t="str">
        <f t="shared" si="1"/>
        <v>Dec-24</v>
      </c>
      <c r="C21" s="13">
        <v>74.0</v>
      </c>
      <c r="E21" s="12" t="s">
        <v>11</v>
      </c>
      <c r="F21" s="13">
        <v>713.0</v>
      </c>
      <c r="G21" s="13">
        <v>182.0</v>
      </c>
      <c r="H21" s="8">
        <f t="shared" si="2"/>
        <v>895</v>
      </c>
      <c r="I21" s="13" t="s">
        <v>59</v>
      </c>
    </row>
    <row r="22" ht="15.75" customHeight="1">
      <c r="A22" s="14">
        <v>45638.0</v>
      </c>
      <c r="B22" s="8" t="str">
        <f t="shared" si="1"/>
        <v>Dec-24</v>
      </c>
      <c r="C22" s="13">
        <v>74.0</v>
      </c>
      <c r="E22" s="12" t="s">
        <v>14</v>
      </c>
      <c r="F22" s="13">
        <v>182.0</v>
      </c>
      <c r="G22" s="13">
        <v>33.0</v>
      </c>
      <c r="H22" s="8">
        <f t="shared" si="2"/>
        <v>215</v>
      </c>
      <c r="I22" s="13" t="s">
        <v>59</v>
      </c>
    </row>
    <row r="23" ht="15.75" customHeight="1">
      <c r="A23" s="14">
        <v>45638.0</v>
      </c>
      <c r="B23" s="8" t="str">
        <f t="shared" si="1"/>
        <v>Dec-24</v>
      </c>
      <c r="C23" s="13">
        <v>74.0</v>
      </c>
      <c r="E23" s="12" t="s">
        <v>14</v>
      </c>
      <c r="F23" s="13">
        <v>254.0</v>
      </c>
      <c r="G23" s="13">
        <v>28.0</v>
      </c>
      <c r="H23" s="8">
        <f t="shared" si="2"/>
        <v>282</v>
      </c>
      <c r="I23" s="13" t="s">
        <v>59</v>
      </c>
    </row>
    <row r="24" ht="15.75" customHeight="1">
      <c r="A24" s="14">
        <v>45639.0</v>
      </c>
      <c r="B24" s="8" t="str">
        <f t="shared" si="1"/>
        <v>Dec-24</v>
      </c>
      <c r="C24" s="13">
        <v>74.0</v>
      </c>
      <c r="E24" s="12" t="s">
        <v>15</v>
      </c>
      <c r="F24" s="13">
        <v>144.0</v>
      </c>
      <c r="G24" s="13">
        <v>10.0</v>
      </c>
      <c r="H24" s="8">
        <f t="shared" si="2"/>
        <v>154</v>
      </c>
      <c r="I24" s="13" t="s">
        <v>59</v>
      </c>
    </row>
    <row r="25" ht="15.75" customHeight="1">
      <c r="A25" s="14">
        <v>45639.0</v>
      </c>
      <c r="B25" s="8" t="str">
        <f t="shared" si="1"/>
        <v>Dec-24</v>
      </c>
      <c r="C25" s="13">
        <v>74.0</v>
      </c>
      <c r="E25" s="12" t="s">
        <v>31</v>
      </c>
      <c r="F25" s="13">
        <v>150.0</v>
      </c>
      <c r="G25" s="13">
        <v>8.0</v>
      </c>
      <c r="H25" s="8">
        <f t="shared" si="2"/>
        <v>158</v>
      </c>
      <c r="I25" s="13" t="s">
        <v>59</v>
      </c>
    </row>
    <row r="26" ht="15.75" customHeight="1">
      <c r="A26" s="14">
        <v>45639.0</v>
      </c>
      <c r="B26" s="8" t="str">
        <f t="shared" si="1"/>
        <v>Dec-24</v>
      </c>
      <c r="C26" s="13">
        <v>74.0</v>
      </c>
      <c r="E26" s="12" t="s">
        <v>24</v>
      </c>
      <c r="F26" s="13">
        <v>58.0</v>
      </c>
      <c r="G26" s="13">
        <v>16.0</v>
      </c>
      <c r="H26" s="8">
        <f t="shared" si="2"/>
        <v>74</v>
      </c>
      <c r="I26" s="13" t="s">
        <v>59</v>
      </c>
    </row>
    <row r="27" ht="15.75" customHeight="1">
      <c r="A27" s="14">
        <v>45639.0</v>
      </c>
      <c r="B27" s="8" t="str">
        <f t="shared" si="1"/>
        <v>Dec-24</v>
      </c>
      <c r="C27" s="13">
        <v>74.0</v>
      </c>
      <c r="E27" s="12" t="s">
        <v>14</v>
      </c>
      <c r="F27" s="13">
        <v>76.0</v>
      </c>
      <c r="G27" s="13">
        <v>7.0</v>
      </c>
      <c r="H27" s="8">
        <f t="shared" si="2"/>
        <v>83</v>
      </c>
      <c r="I27" s="13" t="s">
        <v>59</v>
      </c>
    </row>
    <row r="28" ht="15.75" customHeight="1">
      <c r="A28" s="14">
        <v>45656.0</v>
      </c>
      <c r="B28" s="8" t="str">
        <f t="shared" si="1"/>
        <v>Dec-24</v>
      </c>
      <c r="C28" s="13" t="s">
        <v>40</v>
      </c>
      <c r="E28" s="12" t="s">
        <v>11</v>
      </c>
      <c r="F28" s="13">
        <v>1365.0</v>
      </c>
      <c r="G28" s="13">
        <v>282.0</v>
      </c>
      <c r="H28" s="8">
        <f t="shared" si="2"/>
        <v>1647</v>
      </c>
      <c r="I28" s="13" t="s">
        <v>59</v>
      </c>
    </row>
    <row r="29" ht="15.75" customHeight="1">
      <c r="A29" s="14">
        <v>45656.0</v>
      </c>
      <c r="B29" s="8" t="str">
        <f t="shared" si="1"/>
        <v>Dec-24</v>
      </c>
      <c r="C29" s="13" t="s">
        <v>40</v>
      </c>
      <c r="E29" s="12" t="s">
        <v>14</v>
      </c>
      <c r="F29" s="13">
        <v>135.0</v>
      </c>
      <c r="H29" s="8">
        <f t="shared" si="2"/>
        <v>135</v>
      </c>
      <c r="I29" s="13" t="s">
        <v>59</v>
      </c>
    </row>
    <row r="30" ht="15.75" customHeight="1">
      <c r="A30" s="14">
        <v>45657.0</v>
      </c>
      <c r="B30" s="8" t="str">
        <f t="shared" si="1"/>
        <v>Dec-24</v>
      </c>
      <c r="C30" s="13" t="s">
        <v>40</v>
      </c>
      <c r="E30" s="12" t="s">
        <v>14</v>
      </c>
      <c r="F30" s="13">
        <v>591.0</v>
      </c>
      <c r="G30" s="13">
        <v>87.0</v>
      </c>
      <c r="H30" s="8">
        <f t="shared" si="2"/>
        <v>678</v>
      </c>
      <c r="I30" s="13" t="s">
        <v>59</v>
      </c>
    </row>
    <row r="31" ht="15.75" customHeight="1">
      <c r="A31" s="14">
        <v>45657.0</v>
      </c>
      <c r="B31" s="8" t="str">
        <f t="shared" si="1"/>
        <v>Dec-24</v>
      </c>
      <c r="C31" s="13" t="s">
        <v>40</v>
      </c>
      <c r="E31" s="12" t="s">
        <v>14</v>
      </c>
      <c r="F31" s="13">
        <v>527.0</v>
      </c>
      <c r="G31" s="13">
        <v>53.0</v>
      </c>
      <c r="H31" s="8">
        <f t="shared" si="2"/>
        <v>580</v>
      </c>
      <c r="I31" s="13" t="s">
        <v>59</v>
      </c>
    </row>
    <row r="32" ht="15.75" customHeight="1">
      <c r="A32" s="14">
        <v>45659.0</v>
      </c>
      <c r="B32" s="8" t="str">
        <f t="shared" si="1"/>
        <v>Jan-25</v>
      </c>
      <c r="C32" s="13" t="s">
        <v>40</v>
      </c>
      <c r="E32" s="12" t="s">
        <v>15</v>
      </c>
      <c r="F32" s="13">
        <v>170.0</v>
      </c>
      <c r="G32" s="13">
        <v>20.0</v>
      </c>
      <c r="H32" s="8">
        <f t="shared" si="2"/>
        <v>190</v>
      </c>
      <c r="I32" s="13" t="s">
        <v>59</v>
      </c>
    </row>
    <row r="33" ht="15.75" customHeight="1">
      <c r="A33" s="14">
        <v>45659.0</v>
      </c>
      <c r="B33" s="8" t="str">
        <f t="shared" si="1"/>
        <v>Jan-25</v>
      </c>
      <c r="C33" s="13" t="s">
        <v>40</v>
      </c>
      <c r="E33" s="12" t="s">
        <v>31</v>
      </c>
      <c r="F33" s="13">
        <v>269.0</v>
      </c>
      <c r="G33" s="13">
        <v>25.0</v>
      </c>
      <c r="H33" s="8">
        <f t="shared" si="2"/>
        <v>294</v>
      </c>
      <c r="I33" s="13" t="s">
        <v>59</v>
      </c>
    </row>
    <row r="34" ht="15.75" customHeight="1">
      <c r="A34" s="14">
        <v>45659.0</v>
      </c>
      <c r="B34" s="8" t="str">
        <f t="shared" si="1"/>
        <v>Jan-25</v>
      </c>
      <c r="C34" s="13" t="s">
        <v>40</v>
      </c>
      <c r="E34" s="12" t="s">
        <v>24</v>
      </c>
      <c r="F34" s="13">
        <v>161.0</v>
      </c>
      <c r="G34" s="13">
        <v>5.0</v>
      </c>
      <c r="H34" s="8">
        <f t="shared" si="2"/>
        <v>166</v>
      </c>
      <c r="I34" s="13" t="s">
        <v>59</v>
      </c>
    </row>
    <row r="35" ht="15.75" customHeight="1">
      <c r="A35" s="14">
        <v>45659.0</v>
      </c>
      <c r="B35" s="8" t="str">
        <f t="shared" si="1"/>
        <v>Jan-25</v>
      </c>
      <c r="C35" s="13" t="s">
        <v>40</v>
      </c>
      <c r="E35" s="12" t="s">
        <v>11</v>
      </c>
      <c r="F35" s="13">
        <v>175.0</v>
      </c>
      <c r="H35" s="8">
        <f t="shared" si="2"/>
        <v>175</v>
      </c>
      <c r="I35" s="13" t="s">
        <v>59</v>
      </c>
    </row>
    <row r="36" ht="15.75" customHeight="1">
      <c r="A36" s="14">
        <v>45670.0</v>
      </c>
      <c r="B36" s="8" t="str">
        <f t="shared" si="1"/>
        <v>Jan-25</v>
      </c>
      <c r="C36" s="13">
        <v>77.0</v>
      </c>
      <c r="E36" s="12" t="s">
        <v>14</v>
      </c>
      <c r="F36" s="13">
        <v>705.0</v>
      </c>
      <c r="G36" s="13">
        <v>155.0</v>
      </c>
      <c r="H36" s="8">
        <f t="shared" si="2"/>
        <v>860</v>
      </c>
      <c r="I36" s="13" t="s">
        <v>59</v>
      </c>
    </row>
    <row r="37" ht="15.75" customHeight="1">
      <c r="A37" s="14">
        <v>45671.0</v>
      </c>
      <c r="B37" s="8" t="str">
        <f t="shared" si="1"/>
        <v>Jan-25</v>
      </c>
      <c r="C37" s="13">
        <v>77.0</v>
      </c>
      <c r="E37" s="12" t="s">
        <v>11</v>
      </c>
      <c r="F37" s="13">
        <v>670.0</v>
      </c>
      <c r="G37" s="13">
        <v>247.0</v>
      </c>
      <c r="H37" s="8">
        <f t="shared" si="2"/>
        <v>917</v>
      </c>
      <c r="I37" s="13" t="s">
        <v>59</v>
      </c>
    </row>
    <row r="38" ht="15.75" customHeight="1">
      <c r="A38" s="14">
        <v>45671.0</v>
      </c>
      <c r="B38" s="8" t="str">
        <f t="shared" si="1"/>
        <v>Jan-25</v>
      </c>
      <c r="C38" s="13">
        <v>77.0</v>
      </c>
      <c r="E38" s="12" t="s">
        <v>24</v>
      </c>
      <c r="F38" s="13">
        <v>20.0</v>
      </c>
      <c r="G38" s="13">
        <v>6.0</v>
      </c>
      <c r="H38" s="8">
        <f t="shared" si="2"/>
        <v>26</v>
      </c>
      <c r="I38" s="13" t="s">
        <v>59</v>
      </c>
    </row>
    <row r="39" ht="15.75" customHeight="1">
      <c r="A39" s="14">
        <v>45671.0</v>
      </c>
      <c r="B39" s="8" t="str">
        <f t="shared" si="1"/>
        <v>Jan-25</v>
      </c>
      <c r="C39" s="13">
        <v>77.0</v>
      </c>
      <c r="E39" s="12" t="s">
        <v>31</v>
      </c>
      <c r="F39" s="13">
        <v>67.0</v>
      </c>
      <c r="G39" s="13">
        <v>11.0</v>
      </c>
      <c r="H39" s="8">
        <f t="shared" si="2"/>
        <v>78</v>
      </c>
      <c r="I39" s="13" t="s">
        <v>59</v>
      </c>
    </row>
    <row r="40" ht="15.75" customHeight="1">
      <c r="A40" s="14">
        <v>45671.0</v>
      </c>
      <c r="B40" s="8" t="str">
        <f t="shared" si="1"/>
        <v>Jan-25</v>
      </c>
      <c r="C40" s="13">
        <v>77.0</v>
      </c>
      <c r="E40" s="12" t="s">
        <v>15</v>
      </c>
      <c r="F40" s="13">
        <v>83.0</v>
      </c>
      <c r="G40" s="13">
        <v>16.0</v>
      </c>
      <c r="H40" s="8">
        <f t="shared" si="2"/>
        <v>99</v>
      </c>
      <c r="I40" s="13" t="s">
        <v>59</v>
      </c>
    </row>
    <row r="41" ht="15.75" customHeight="1">
      <c r="A41" s="14">
        <v>45678.0</v>
      </c>
      <c r="B41" s="8" t="str">
        <f t="shared" si="1"/>
        <v>Jan-25</v>
      </c>
      <c r="C41" s="13">
        <v>78.0</v>
      </c>
      <c r="E41" s="12" t="s">
        <v>14</v>
      </c>
      <c r="F41" s="13">
        <v>524.0</v>
      </c>
      <c r="G41" s="13">
        <v>200.0</v>
      </c>
      <c r="H41" s="8">
        <f t="shared" si="2"/>
        <v>724</v>
      </c>
      <c r="I41" s="13" t="s">
        <v>59</v>
      </c>
    </row>
    <row r="42" ht="15.75" customHeight="1">
      <c r="A42" s="14">
        <v>45679.0</v>
      </c>
      <c r="B42" s="8" t="str">
        <f t="shared" si="1"/>
        <v>Jan-25</v>
      </c>
      <c r="C42" s="13">
        <v>78.0</v>
      </c>
      <c r="E42" s="12" t="s">
        <v>11</v>
      </c>
      <c r="F42" s="13">
        <v>360.0</v>
      </c>
      <c r="G42" s="13">
        <v>131.0</v>
      </c>
      <c r="H42" s="8">
        <f t="shared" si="2"/>
        <v>491</v>
      </c>
      <c r="I42" s="13" t="s">
        <v>59</v>
      </c>
    </row>
    <row r="43" ht="15.75" customHeight="1">
      <c r="A43" s="14">
        <v>45680.0</v>
      </c>
      <c r="B43" s="8" t="str">
        <f t="shared" si="1"/>
        <v>Jan-25</v>
      </c>
      <c r="C43" s="13">
        <v>78.0</v>
      </c>
      <c r="E43" s="12" t="s">
        <v>11</v>
      </c>
      <c r="F43" s="13">
        <v>430.0</v>
      </c>
      <c r="G43" s="13">
        <v>57.0</v>
      </c>
      <c r="H43" s="8">
        <f t="shared" si="2"/>
        <v>487</v>
      </c>
      <c r="I43" s="13" t="s">
        <v>59</v>
      </c>
    </row>
    <row r="44" ht="15.75" customHeight="1">
      <c r="A44" s="14">
        <v>45681.0</v>
      </c>
      <c r="B44" s="8" t="str">
        <f t="shared" si="1"/>
        <v>Jan-25</v>
      </c>
      <c r="C44" s="13">
        <v>78.0</v>
      </c>
      <c r="E44" s="12" t="s">
        <v>11</v>
      </c>
      <c r="F44" s="13">
        <v>905.0</v>
      </c>
      <c r="G44" s="13">
        <v>530.0</v>
      </c>
      <c r="H44" s="8">
        <f t="shared" si="2"/>
        <v>1435</v>
      </c>
      <c r="I44" s="13" t="s">
        <v>59</v>
      </c>
    </row>
    <row r="45" ht="15.75" customHeight="1">
      <c r="A45" s="14">
        <v>45682.0</v>
      </c>
      <c r="B45" s="8" t="str">
        <f t="shared" si="1"/>
        <v>Jan-25</v>
      </c>
      <c r="C45" s="13">
        <v>78.0</v>
      </c>
      <c r="E45" s="12" t="s">
        <v>11</v>
      </c>
      <c r="F45" s="13">
        <v>1150.0</v>
      </c>
      <c r="G45" s="13">
        <v>325.0</v>
      </c>
      <c r="H45" s="8">
        <f t="shared" si="2"/>
        <v>1475</v>
      </c>
      <c r="I45" s="13" t="s">
        <v>59</v>
      </c>
    </row>
    <row r="46" ht="15.75" customHeight="1">
      <c r="A46" s="14">
        <v>45684.0</v>
      </c>
      <c r="B46" s="8" t="str">
        <f t="shared" si="1"/>
        <v>Jan-25</v>
      </c>
      <c r="C46" s="13">
        <v>78.0</v>
      </c>
      <c r="E46" s="12" t="s">
        <v>11</v>
      </c>
      <c r="F46" s="13">
        <v>600.0</v>
      </c>
      <c r="G46" s="13">
        <v>375.0</v>
      </c>
      <c r="H46" s="8">
        <f t="shared" si="2"/>
        <v>975</v>
      </c>
      <c r="I46" s="13" t="s">
        <v>59</v>
      </c>
    </row>
    <row r="47" ht="15.75" customHeight="1">
      <c r="A47" s="14">
        <v>45687.0</v>
      </c>
      <c r="B47" s="8" t="str">
        <f t="shared" si="1"/>
        <v>Jan-25</v>
      </c>
      <c r="C47" s="13">
        <v>79.0</v>
      </c>
      <c r="E47" s="12" t="s">
        <v>14</v>
      </c>
      <c r="F47" s="13">
        <v>1064.0</v>
      </c>
      <c r="G47" s="13">
        <v>272.0</v>
      </c>
      <c r="H47" s="8">
        <f t="shared" si="2"/>
        <v>1336</v>
      </c>
      <c r="I47" s="13" t="s">
        <v>59</v>
      </c>
    </row>
    <row r="48" ht="15.75" customHeight="1">
      <c r="A48" s="14">
        <v>45688.0</v>
      </c>
      <c r="B48" s="8" t="str">
        <f t="shared" si="1"/>
        <v>Jan-25</v>
      </c>
      <c r="C48" s="13">
        <v>79.0</v>
      </c>
      <c r="E48" s="12" t="s">
        <v>24</v>
      </c>
      <c r="F48" s="13">
        <v>46.0</v>
      </c>
      <c r="G48" s="13">
        <v>10.0</v>
      </c>
      <c r="H48" s="8">
        <f t="shared" si="2"/>
        <v>56</v>
      </c>
      <c r="I48" s="13" t="s">
        <v>59</v>
      </c>
    </row>
    <row r="49" ht="15.75" customHeight="1">
      <c r="A49" s="14">
        <v>45688.0</v>
      </c>
      <c r="B49" s="8" t="str">
        <f t="shared" si="1"/>
        <v>Jan-25</v>
      </c>
      <c r="C49" s="13">
        <v>79.0</v>
      </c>
      <c r="E49" s="12" t="s">
        <v>15</v>
      </c>
      <c r="F49" s="13">
        <v>187.0</v>
      </c>
      <c r="G49" s="13">
        <v>45.0</v>
      </c>
      <c r="H49" s="8">
        <f t="shared" si="2"/>
        <v>232</v>
      </c>
      <c r="I49" s="13" t="s">
        <v>59</v>
      </c>
    </row>
    <row r="50" ht="15.75" customHeight="1">
      <c r="A50" s="14">
        <v>45688.0</v>
      </c>
      <c r="B50" s="8" t="str">
        <f t="shared" si="1"/>
        <v>Jan-25</v>
      </c>
      <c r="C50" s="13">
        <v>79.0</v>
      </c>
      <c r="E50" s="12" t="s">
        <v>31</v>
      </c>
      <c r="F50" s="13">
        <v>137.0</v>
      </c>
      <c r="G50" s="13">
        <v>41.0</v>
      </c>
      <c r="H50" s="8">
        <f t="shared" si="2"/>
        <v>178</v>
      </c>
      <c r="I50" s="13" t="s">
        <v>59</v>
      </c>
    </row>
    <row r="51" ht="15.75" customHeight="1">
      <c r="A51" s="14">
        <v>45688.0</v>
      </c>
      <c r="B51" s="8" t="str">
        <f t="shared" si="1"/>
        <v>Jan-25</v>
      </c>
      <c r="C51" s="13">
        <v>79.0</v>
      </c>
      <c r="E51" s="12" t="s">
        <v>11</v>
      </c>
      <c r="F51" s="13">
        <v>792.0</v>
      </c>
      <c r="G51" s="13">
        <v>115.0</v>
      </c>
      <c r="H51" s="8">
        <f t="shared" si="2"/>
        <v>907</v>
      </c>
      <c r="I51" s="13" t="s">
        <v>59</v>
      </c>
    </row>
    <row r="52" ht="15.75" customHeight="1">
      <c r="A52" s="14">
        <v>45698.0</v>
      </c>
      <c r="B52" s="8" t="str">
        <f t="shared" si="1"/>
        <v>Feb-25</v>
      </c>
      <c r="C52" s="13">
        <v>80.0</v>
      </c>
      <c r="E52" s="12" t="s">
        <v>14</v>
      </c>
      <c r="F52" s="13">
        <v>300.0</v>
      </c>
      <c r="G52" s="13">
        <v>15.0</v>
      </c>
      <c r="H52" s="8">
        <f t="shared" si="2"/>
        <v>315</v>
      </c>
      <c r="I52" s="13" t="s">
        <v>59</v>
      </c>
    </row>
    <row r="53" ht="15.75" customHeight="1">
      <c r="A53" s="14">
        <v>45699.0</v>
      </c>
      <c r="B53" s="8" t="str">
        <f t="shared" si="1"/>
        <v>Feb-25</v>
      </c>
      <c r="C53" s="13">
        <v>80.0</v>
      </c>
      <c r="E53" s="12" t="s">
        <v>14</v>
      </c>
      <c r="F53" s="13">
        <v>346.0</v>
      </c>
      <c r="G53" s="13">
        <v>10.0</v>
      </c>
      <c r="H53" s="8">
        <f t="shared" si="2"/>
        <v>356</v>
      </c>
      <c r="I53" s="13" t="s">
        <v>59</v>
      </c>
    </row>
    <row r="54" ht="15.75" customHeight="1">
      <c r="A54" s="14">
        <v>45699.0</v>
      </c>
      <c r="B54" s="8" t="str">
        <f t="shared" si="1"/>
        <v>Feb-25</v>
      </c>
      <c r="C54" s="13">
        <v>80.0</v>
      </c>
      <c r="E54" s="12" t="s">
        <v>14</v>
      </c>
      <c r="F54" s="13">
        <v>507.0</v>
      </c>
      <c r="G54" s="13">
        <v>13.0</v>
      </c>
      <c r="H54" s="8">
        <f t="shared" si="2"/>
        <v>520</v>
      </c>
      <c r="I54" s="13" t="s">
        <v>59</v>
      </c>
    </row>
    <row r="55" ht="15.75" customHeight="1">
      <c r="A55" s="14">
        <v>45699.0</v>
      </c>
      <c r="B55" s="8" t="str">
        <f t="shared" si="1"/>
        <v>Feb-25</v>
      </c>
      <c r="C55" s="13">
        <v>80.0</v>
      </c>
      <c r="E55" s="12" t="s">
        <v>11</v>
      </c>
      <c r="F55" s="13">
        <v>261.0</v>
      </c>
      <c r="H55" s="8">
        <f t="shared" si="2"/>
        <v>261</v>
      </c>
      <c r="I55" s="13" t="s">
        <v>59</v>
      </c>
    </row>
    <row r="56" ht="15.75" customHeight="1">
      <c r="A56" s="14">
        <v>45700.0</v>
      </c>
      <c r="B56" s="8" t="str">
        <f t="shared" si="1"/>
        <v>Feb-25</v>
      </c>
      <c r="C56" s="13">
        <v>80.0</v>
      </c>
      <c r="E56" s="12" t="s">
        <v>11</v>
      </c>
      <c r="F56" s="13">
        <v>690.0</v>
      </c>
      <c r="G56" s="13">
        <v>45.0</v>
      </c>
      <c r="H56" s="8">
        <f t="shared" si="2"/>
        <v>735</v>
      </c>
      <c r="I56" s="13" t="s">
        <v>59</v>
      </c>
    </row>
    <row r="57" ht="15.75" customHeight="1">
      <c r="A57" s="14">
        <v>45700.0</v>
      </c>
      <c r="B57" s="8" t="str">
        <f t="shared" si="1"/>
        <v>Feb-25</v>
      </c>
      <c r="C57" s="13">
        <v>80.0</v>
      </c>
      <c r="E57" s="12" t="s">
        <v>15</v>
      </c>
      <c r="F57" s="13">
        <v>157.0</v>
      </c>
      <c r="G57" s="13">
        <v>3.0</v>
      </c>
      <c r="H57" s="8">
        <f t="shared" si="2"/>
        <v>160</v>
      </c>
      <c r="I57" s="13" t="s">
        <v>59</v>
      </c>
    </row>
    <row r="58" ht="15.75" customHeight="1">
      <c r="A58" s="14">
        <v>45700.0</v>
      </c>
      <c r="B58" s="8" t="str">
        <f t="shared" si="1"/>
        <v>Feb-25</v>
      </c>
      <c r="C58" s="13">
        <v>80.0</v>
      </c>
      <c r="E58" s="12" t="s">
        <v>24</v>
      </c>
      <c r="F58" s="13">
        <v>165.0</v>
      </c>
      <c r="H58" s="8">
        <f t="shared" si="2"/>
        <v>165</v>
      </c>
      <c r="I58" s="13" t="s">
        <v>59</v>
      </c>
    </row>
    <row r="59" ht="15.75" customHeight="1">
      <c r="A59" s="14">
        <v>45701.0</v>
      </c>
      <c r="B59" s="8" t="str">
        <f t="shared" si="1"/>
        <v>Feb-25</v>
      </c>
      <c r="C59" s="13">
        <v>80.0</v>
      </c>
      <c r="E59" s="12" t="s">
        <v>31</v>
      </c>
      <c r="F59" s="13">
        <v>249.0</v>
      </c>
      <c r="G59" s="13">
        <v>3.0</v>
      </c>
      <c r="H59" s="8">
        <f t="shared" si="2"/>
        <v>252</v>
      </c>
      <c r="I59" s="13" t="s">
        <v>59</v>
      </c>
    </row>
    <row r="60" ht="15.75" customHeight="1">
      <c r="A60" s="14">
        <v>45705.0</v>
      </c>
      <c r="B60" s="8" t="str">
        <f t="shared" si="1"/>
        <v>Feb-25</v>
      </c>
      <c r="C60" s="13">
        <v>81.0</v>
      </c>
      <c r="E60" s="12" t="s">
        <v>14</v>
      </c>
      <c r="F60" s="13">
        <v>282.0</v>
      </c>
      <c r="G60" s="13">
        <v>101.0</v>
      </c>
      <c r="H60" s="8">
        <f t="shared" si="2"/>
        <v>383</v>
      </c>
      <c r="I60" s="13" t="s">
        <v>59</v>
      </c>
    </row>
    <row r="61" ht="15.75" customHeight="1">
      <c r="A61" s="14">
        <v>45705.0</v>
      </c>
      <c r="B61" s="8" t="str">
        <f t="shared" si="1"/>
        <v>Feb-25</v>
      </c>
      <c r="C61" s="13">
        <v>81.0</v>
      </c>
      <c r="E61" s="12" t="s">
        <v>14</v>
      </c>
      <c r="F61" s="13">
        <v>268.0</v>
      </c>
      <c r="G61" s="13">
        <v>53.0</v>
      </c>
      <c r="H61" s="8">
        <f t="shared" si="2"/>
        <v>321</v>
      </c>
      <c r="I61" s="13" t="s">
        <v>59</v>
      </c>
    </row>
    <row r="62" ht="15.75" customHeight="1">
      <c r="A62" s="14">
        <v>45705.0</v>
      </c>
      <c r="B62" s="8" t="str">
        <f t="shared" si="1"/>
        <v>Feb-25</v>
      </c>
      <c r="C62" s="13">
        <v>81.0</v>
      </c>
      <c r="E62" s="12" t="s">
        <v>15</v>
      </c>
      <c r="F62" s="13">
        <v>191.0</v>
      </c>
      <c r="H62" s="8">
        <f t="shared" si="2"/>
        <v>191</v>
      </c>
      <c r="I62" s="13" t="s">
        <v>59</v>
      </c>
    </row>
    <row r="63" ht="15.75" customHeight="1">
      <c r="A63" s="14">
        <v>45705.0</v>
      </c>
      <c r="B63" s="8" t="str">
        <f t="shared" si="1"/>
        <v>Feb-25</v>
      </c>
      <c r="C63" s="13">
        <v>81.0</v>
      </c>
      <c r="E63" s="12" t="s">
        <v>24</v>
      </c>
      <c r="F63" s="13">
        <v>118.0</v>
      </c>
      <c r="G63" s="13">
        <v>2.0</v>
      </c>
      <c r="H63" s="8">
        <f t="shared" si="2"/>
        <v>120</v>
      </c>
      <c r="I63" s="13" t="s">
        <v>59</v>
      </c>
    </row>
    <row r="64" ht="15.75" customHeight="1">
      <c r="A64" s="14">
        <v>45705.0</v>
      </c>
      <c r="B64" s="8" t="str">
        <f t="shared" si="1"/>
        <v>Feb-25</v>
      </c>
      <c r="C64" s="13">
        <v>81.0</v>
      </c>
      <c r="E64" s="12" t="s">
        <v>31</v>
      </c>
      <c r="F64" s="13">
        <v>253.0</v>
      </c>
      <c r="G64" s="13">
        <v>1.0</v>
      </c>
      <c r="H64" s="8">
        <f t="shared" si="2"/>
        <v>254</v>
      </c>
      <c r="I64" s="13" t="s">
        <v>59</v>
      </c>
    </row>
    <row r="65" ht="15.75" customHeight="1">
      <c r="A65" s="14">
        <v>45706.0</v>
      </c>
      <c r="B65" s="8" t="str">
        <f t="shared" si="1"/>
        <v>Feb-25</v>
      </c>
      <c r="C65" s="13">
        <v>81.0</v>
      </c>
      <c r="E65" s="12" t="s">
        <v>11</v>
      </c>
      <c r="F65" s="13">
        <v>550.0</v>
      </c>
      <c r="G65" s="13">
        <v>164.0</v>
      </c>
      <c r="H65" s="8">
        <f t="shared" si="2"/>
        <v>714</v>
      </c>
      <c r="I65" s="13" t="s">
        <v>59</v>
      </c>
    </row>
    <row r="66" ht="15.75" customHeight="1">
      <c r="A66" s="14">
        <v>45712.0</v>
      </c>
      <c r="B66" s="8" t="str">
        <f t="shared" si="1"/>
        <v>Feb-25</v>
      </c>
      <c r="C66" s="13">
        <v>82.0</v>
      </c>
      <c r="E66" s="12" t="s">
        <v>11</v>
      </c>
      <c r="F66" s="13">
        <v>475.0</v>
      </c>
      <c r="G66" s="13">
        <v>128.0</v>
      </c>
      <c r="H66" s="8">
        <f t="shared" si="2"/>
        <v>603</v>
      </c>
      <c r="I66" s="13" t="s">
        <v>59</v>
      </c>
    </row>
    <row r="67" ht="15.75" customHeight="1">
      <c r="A67" s="14">
        <v>45713.0</v>
      </c>
      <c r="B67" s="8" t="str">
        <f t="shared" si="1"/>
        <v>Feb-25</v>
      </c>
      <c r="C67" s="13">
        <v>82.0</v>
      </c>
      <c r="E67" s="12" t="s">
        <v>11</v>
      </c>
      <c r="F67" s="13">
        <v>1250.0</v>
      </c>
      <c r="G67" s="13">
        <v>499.0</v>
      </c>
      <c r="H67" s="8">
        <f t="shared" si="2"/>
        <v>1749</v>
      </c>
      <c r="I67" s="13" t="s">
        <v>59</v>
      </c>
    </row>
    <row r="68" ht="15.75" customHeight="1">
      <c r="A68" s="14">
        <v>45790.0</v>
      </c>
      <c r="B68" s="8" t="str">
        <f t="shared" si="1"/>
        <v>May-25</v>
      </c>
      <c r="E68" s="12"/>
    </row>
    <row r="69" ht="15.75" customHeight="1">
      <c r="E69" s="12"/>
    </row>
    <row r="70" ht="15.75" customHeight="1">
      <c r="E70" s="12"/>
    </row>
    <row r="71" ht="15.75" customHeight="1">
      <c r="E71" s="12"/>
    </row>
    <row r="72" ht="15.75" customHeight="1">
      <c r="E72" s="12"/>
    </row>
    <row r="73" ht="15.75" customHeight="1">
      <c r="E73" s="12"/>
    </row>
    <row r="74" ht="15.75" customHeight="1">
      <c r="E74" s="12"/>
    </row>
    <row r="75" ht="15.75" customHeight="1">
      <c r="E75" s="12"/>
    </row>
    <row r="76" ht="15.75" customHeight="1">
      <c r="E76" s="12"/>
    </row>
    <row r="77" ht="15.75" customHeight="1">
      <c r="E77" s="12"/>
    </row>
    <row r="78" ht="15.75" customHeight="1">
      <c r="E78" s="12"/>
    </row>
    <row r="79" ht="15.75" customHeight="1">
      <c r="E79" s="12"/>
    </row>
    <row r="80" ht="15.75" customHeight="1">
      <c r="E80" s="12"/>
    </row>
    <row r="81" ht="15.75" customHeight="1">
      <c r="E81" s="12"/>
    </row>
    <row r="82" ht="15.75" customHeight="1">
      <c r="E82" s="12"/>
    </row>
    <row r="83" ht="15.75" customHeight="1">
      <c r="E83" s="12"/>
    </row>
    <row r="84" ht="15.75" customHeight="1">
      <c r="E84" s="12"/>
    </row>
    <row r="85" ht="15.75" customHeight="1">
      <c r="E85" s="12"/>
    </row>
    <row r="86" ht="15.75" customHeight="1">
      <c r="E86" s="12"/>
    </row>
    <row r="87" ht="15.75" customHeight="1">
      <c r="E87" s="12"/>
    </row>
    <row r="88" ht="15.75" customHeight="1">
      <c r="E88" s="12"/>
    </row>
    <row r="89" ht="15.75" customHeight="1">
      <c r="E89" s="12"/>
    </row>
    <row r="90" ht="15.75" customHeight="1">
      <c r="E90" s="12"/>
    </row>
    <row r="91" ht="15.75" customHeight="1">
      <c r="E91" s="12"/>
    </row>
    <row r="92" ht="15.75" customHeight="1">
      <c r="E92" s="12"/>
    </row>
    <row r="93" ht="15.75" customHeight="1">
      <c r="E93" s="12"/>
    </row>
    <row r="94" ht="15.75" customHeight="1">
      <c r="E94" s="12"/>
    </row>
    <row r="95" ht="15.75" customHeight="1">
      <c r="E95" s="12"/>
    </row>
    <row r="96" ht="15.75" customHeight="1">
      <c r="E96" s="12"/>
    </row>
    <row r="97" ht="15.75" customHeight="1">
      <c r="E97" s="12"/>
    </row>
    <row r="98" ht="15.75" customHeight="1">
      <c r="E98" s="12"/>
    </row>
    <row r="99" ht="15.75" customHeight="1">
      <c r="E99" s="12"/>
    </row>
    <row r="100" ht="15.75" customHeight="1">
      <c r="E100" s="12"/>
    </row>
    <row r="101" ht="15.75" customHeight="1">
      <c r="E101" s="12"/>
    </row>
    <row r="102" ht="15.75" customHeight="1">
      <c r="E102" s="12"/>
    </row>
    <row r="103" ht="15.75" customHeight="1">
      <c r="E103" s="12"/>
    </row>
    <row r="104" ht="15.75" customHeight="1">
      <c r="E104" s="12"/>
    </row>
    <row r="105" ht="15.75" customHeight="1">
      <c r="E105" s="12"/>
    </row>
    <row r="106" ht="15.75" customHeight="1">
      <c r="E106" s="12"/>
    </row>
    <row r="107" ht="15.75" customHeight="1">
      <c r="E107" s="12"/>
    </row>
    <row r="108" ht="15.75" customHeight="1">
      <c r="E108" s="12"/>
    </row>
    <row r="109" ht="15.75" customHeight="1">
      <c r="E109" s="12"/>
    </row>
    <row r="110" ht="15.75" customHeight="1">
      <c r="E110" s="12"/>
    </row>
    <row r="111" ht="15.75" customHeight="1">
      <c r="E111" s="12"/>
    </row>
    <row r="112" ht="15.75" customHeight="1">
      <c r="E112" s="12"/>
    </row>
    <row r="113" ht="15.75" customHeight="1">
      <c r="E113" s="12"/>
    </row>
    <row r="114" ht="15.75" customHeight="1">
      <c r="E114" s="12"/>
    </row>
    <row r="115" ht="15.75" customHeight="1">
      <c r="E115" s="12"/>
    </row>
    <row r="116" ht="15.75" customHeight="1">
      <c r="E116" s="12"/>
    </row>
    <row r="117" ht="15.75" customHeight="1">
      <c r="E117" s="12"/>
    </row>
    <row r="118" ht="15.75" customHeight="1">
      <c r="E118" s="12"/>
    </row>
    <row r="119" ht="15.75" customHeight="1">
      <c r="E119" s="12"/>
    </row>
    <row r="120" ht="15.75" customHeight="1">
      <c r="E120" s="12"/>
    </row>
    <row r="121" ht="15.75" customHeight="1">
      <c r="E121" s="12"/>
    </row>
    <row r="122" ht="15.75" customHeight="1">
      <c r="E122" s="12"/>
    </row>
    <row r="123" ht="15.75" customHeight="1">
      <c r="E123" s="12"/>
    </row>
    <row r="124" ht="15.75" customHeight="1">
      <c r="E124" s="12"/>
    </row>
    <row r="125" ht="15.75" customHeight="1">
      <c r="E125" s="12"/>
    </row>
    <row r="126" ht="15.75" customHeight="1">
      <c r="E126" s="12"/>
    </row>
    <row r="127" ht="15.75" customHeight="1">
      <c r="E127" s="12"/>
    </row>
    <row r="128" ht="15.75" customHeight="1">
      <c r="E128" s="12"/>
    </row>
    <row r="129" ht="15.75" customHeight="1">
      <c r="E129" s="12"/>
    </row>
    <row r="130" ht="15.75" customHeight="1">
      <c r="E130" s="12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67">
      <formula1>'Data Validation'!$C$3:$C$20</formula1>
    </dataValidation>
    <dataValidation type="list" allowBlank="1" showErrorMessage="1" sqref="E2:E130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1.86"/>
    <col customWidth="1" min="3" max="3" width="13.29"/>
    <col customWidth="1" min="4" max="4" width="17.43"/>
    <col customWidth="1" min="5" max="5" width="21.57"/>
    <col customWidth="1" min="6" max="6" width="17.0"/>
    <col customWidth="1" min="7" max="7" width="15.29"/>
    <col customWidth="1" min="8" max="8" width="14.86"/>
    <col customWidth="1" min="9" max="9" width="29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60</v>
      </c>
      <c r="F1" s="1" t="s">
        <v>61</v>
      </c>
      <c r="G1" s="1" t="s">
        <v>62</v>
      </c>
      <c r="H1" s="1" t="s">
        <v>6</v>
      </c>
      <c r="I1" s="13" t="s">
        <v>63</v>
      </c>
    </row>
    <row r="2">
      <c r="A2" s="14">
        <v>45600.0</v>
      </c>
      <c r="B2" s="8" t="str">
        <f t="shared" ref="B2:B44" si="1">TEXT(A2,"mmm-yy")</f>
        <v>Nov-24</v>
      </c>
      <c r="D2" s="12" t="s">
        <v>14</v>
      </c>
      <c r="E2" s="13">
        <v>38.0</v>
      </c>
      <c r="F2" s="13">
        <v>186.0</v>
      </c>
      <c r="G2" s="8">
        <f t="shared" ref="G2:G103" si="2">SUM(E2:F2)</f>
        <v>224</v>
      </c>
      <c r="H2" s="13" t="s">
        <v>12</v>
      </c>
    </row>
    <row r="3">
      <c r="A3" s="14">
        <v>45601.0</v>
      </c>
      <c r="B3" s="8" t="str">
        <f t="shared" si="1"/>
        <v>Nov-24</v>
      </c>
      <c r="D3" s="12" t="s">
        <v>14</v>
      </c>
      <c r="E3" s="13">
        <v>150.0</v>
      </c>
      <c r="F3" s="13">
        <v>142.0</v>
      </c>
      <c r="G3" s="8">
        <f t="shared" si="2"/>
        <v>292</v>
      </c>
      <c r="H3" s="13" t="s">
        <v>53</v>
      </c>
    </row>
    <row r="4">
      <c r="A4" s="14">
        <v>45602.0</v>
      </c>
      <c r="B4" s="8" t="str">
        <f t="shared" si="1"/>
        <v>Nov-24</v>
      </c>
      <c r="D4" s="12" t="s">
        <v>14</v>
      </c>
      <c r="E4" s="13">
        <v>245.0</v>
      </c>
      <c r="F4" s="13">
        <v>255.0</v>
      </c>
      <c r="G4" s="8">
        <f t="shared" si="2"/>
        <v>500</v>
      </c>
      <c r="H4" s="13" t="s">
        <v>37</v>
      </c>
    </row>
    <row r="5">
      <c r="A5" s="14">
        <v>45603.0</v>
      </c>
      <c r="B5" s="8" t="str">
        <f t="shared" si="1"/>
        <v>Nov-24</v>
      </c>
      <c r="D5" s="12" t="s">
        <v>11</v>
      </c>
      <c r="E5" s="13">
        <v>220.0</v>
      </c>
      <c r="F5" s="13">
        <v>230.0</v>
      </c>
      <c r="G5" s="8">
        <f t="shared" si="2"/>
        <v>450</v>
      </c>
      <c r="H5" s="13" t="s">
        <v>37</v>
      </c>
    </row>
    <row r="6">
      <c r="A6" s="14">
        <v>45604.0</v>
      </c>
      <c r="B6" s="8" t="str">
        <f t="shared" si="1"/>
        <v>Nov-24</v>
      </c>
      <c r="D6" s="12" t="s">
        <v>15</v>
      </c>
      <c r="E6" s="13">
        <v>95.0</v>
      </c>
      <c r="F6" s="13">
        <v>215.0</v>
      </c>
      <c r="G6" s="8">
        <f t="shared" si="2"/>
        <v>310</v>
      </c>
      <c r="H6" s="13" t="s">
        <v>22</v>
      </c>
    </row>
    <row r="7">
      <c r="A7" s="14">
        <v>45604.0</v>
      </c>
      <c r="B7" s="8" t="str">
        <f t="shared" si="1"/>
        <v>Nov-24</v>
      </c>
      <c r="D7" s="12" t="s">
        <v>14</v>
      </c>
      <c r="E7" s="13">
        <v>165.0</v>
      </c>
      <c r="G7" s="8">
        <f t="shared" si="2"/>
        <v>165</v>
      </c>
      <c r="H7" s="13" t="s">
        <v>22</v>
      </c>
    </row>
    <row r="8">
      <c r="A8" s="14">
        <v>45604.0</v>
      </c>
      <c r="B8" s="8" t="str">
        <f t="shared" si="1"/>
        <v>Nov-24</v>
      </c>
      <c r="D8" s="12" t="s">
        <v>15</v>
      </c>
      <c r="E8" s="13">
        <v>130.0</v>
      </c>
      <c r="F8" s="13">
        <v>210.0</v>
      </c>
      <c r="G8" s="8">
        <f t="shared" si="2"/>
        <v>340</v>
      </c>
      <c r="H8" s="13" t="s">
        <v>53</v>
      </c>
    </row>
    <row r="9">
      <c r="A9" s="14">
        <v>45604.0</v>
      </c>
      <c r="B9" s="8" t="str">
        <f t="shared" si="1"/>
        <v>Nov-24</v>
      </c>
      <c r="D9" s="12" t="s">
        <v>11</v>
      </c>
      <c r="E9" s="13">
        <v>80.0</v>
      </c>
      <c r="F9" s="13">
        <v>60.0</v>
      </c>
      <c r="G9" s="8">
        <f t="shared" si="2"/>
        <v>140</v>
      </c>
      <c r="H9" s="13" t="s">
        <v>37</v>
      </c>
    </row>
    <row r="10">
      <c r="A10" s="14">
        <v>45605.0</v>
      </c>
      <c r="B10" s="8" t="str">
        <f t="shared" si="1"/>
        <v>Nov-24</v>
      </c>
      <c r="D10" s="12" t="s">
        <v>15</v>
      </c>
      <c r="E10" s="13">
        <v>231.0</v>
      </c>
      <c r="F10" s="13">
        <v>132.0</v>
      </c>
      <c r="G10" s="8">
        <f t="shared" si="2"/>
        <v>363</v>
      </c>
      <c r="H10" s="13" t="s">
        <v>53</v>
      </c>
    </row>
    <row r="11">
      <c r="A11" s="14">
        <v>45605.0</v>
      </c>
      <c r="B11" s="8" t="str">
        <f t="shared" si="1"/>
        <v>Nov-24</v>
      </c>
      <c r="D11" s="12" t="s">
        <v>15</v>
      </c>
      <c r="E11" s="13">
        <v>170.0</v>
      </c>
      <c r="F11" s="13">
        <v>245.0</v>
      </c>
      <c r="G11" s="8">
        <f t="shared" si="2"/>
        <v>415</v>
      </c>
      <c r="H11" s="13" t="s">
        <v>22</v>
      </c>
    </row>
    <row r="12">
      <c r="A12" s="14">
        <v>45605.0</v>
      </c>
      <c r="B12" s="8" t="str">
        <f t="shared" si="1"/>
        <v>Nov-24</v>
      </c>
      <c r="D12" s="12" t="s">
        <v>11</v>
      </c>
      <c r="E12" s="13">
        <v>143.0</v>
      </c>
      <c r="F12" s="13">
        <v>50.0</v>
      </c>
      <c r="G12" s="8">
        <f t="shared" si="2"/>
        <v>193</v>
      </c>
      <c r="H12" s="13" t="s">
        <v>23</v>
      </c>
    </row>
    <row r="13">
      <c r="A13" s="14">
        <v>45607.0</v>
      </c>
      <c r="B13" s="8" t="str">
        <f t="shared" si="1"/>
        <v>Nov-24</v>
      </c>
      <c r="D13" s="12" t="s">
        <v>15</v>
      </c>
      <c r="E13" s="13">
        <v>120.0</v>
      </c>
      <c r="F13" s="13">
        <v>230.0</v>
      </c>
      <c r="G13" s="8">
        <f t="shared" si="2"/>
        <v>350</v>
      </c>
      <c r="H13" s="13" t="s">
        <v>22</v>
      </c>
    </row>
    <row r="14">
      <c r="A14" s="14">
        <v>45607.0</v>
      </c>
      <c r="B14" s="8" t="str">
        <f t="shared" si="1"/>
        <v>Nov-24</v>
      </c>
      <c r="D14" s="12" t="s">
        <v>11</v>
      </c>
      <c r="E14" s="13">
        <v>265.0</v>
      </c>
      <c r="F14" s="13">
        <v>290.0</v>
      </c>
      <c r="G14" s="8">
        <f t="shared" si="2"/>
        <v>555</v>
      </c>
      <c r="H14" s="13" t="s">
        <v>37</v>
      </c>
    </row>
    <row r="15">
      <c r="A15" s="14">
        <v>45607.0</v>
      </c>
      <c r="B15" s="8" t="str">
        <f t="shared" si="1"/>
        <v>Nov-24</v>
      </c>
      <c r="D15" s="12" t="s">
        <v>14</v>
      </c>
      <c r="E15" s="13">
        <v>255.0</v>
      </c>
      <c r="F15" s="13">
        <v>232.0</v>
      </c>
      <c r="G15" s="8">
        <f t="shared" si="2"/>
        <v>487</v>
      </c>
      <c r="H15" s="13" t="s">
        <v>46</v>
      </c>
    </row>
    <row r="16">
      <c r="A16" s="14">
        <v>45607.0</v>
      </c>
      <c r="B16" s="8" t="str">
        <f t="shared" si="1"/>
        <v>Nov-24</v>
      </c>
      <c r="D16" s="12" t="s">
        <v>31</v>
      </c>
      <c r="E16" s="13">
        <v>111.0</v>
      </c>
      <c r="F16" s="13">
        <v>101.0</v>
      </c>
      <c r="G16" s="8">
        <f t="shared" si="2"/>
        <v>212</v>
      </c>
      <c r="H16" s="13" t="s">
        <v>23</v>
      </c>
    </row>
    <row r="17">
      <c r="A17" s="14">
        <v>45608.0</v>
      </c>
      <c r="B17" s="8" t="str">
        <f t="shared" si="1"/>
        <v>Nov-24</v>
      </c>
      <c r="D17" s="12" t="s">
        <v>14</v>
      </c>
      <c r="E17" s="13">
        <v>59.0</v>
      </c>
      <c r="F17" s="13">
        <v>63.0</v>
      </c>
      <c r="G17" s="8">
        <f t="shared" si="2"/>
        <v>122</v>
      </c>
      <c r="H17" s="13" t="s">
        <v>23</v>
      </c>
    </row>
    <row r="18">
      <c r="A18" s="14">
        <v>45609.0</v>
      </c>
      <c r="B18" s="8" t="str">
        <f t="shared" si="1"/>
        <v>Nov-24</v>
      </c>
      <c r="D18" s="12" t="s">
        <v>14</v>
      </c>
      <c r="E18" s="13">
        <v>10.0</v>
      </c>
      <c r="F18" s="13">
        <v>10.0</v>
      </c>
      <c r="G18" s="8">
        <f t="shared" si="2"/>
        <v>20</v>
      </c>
      <c r="H18" s="13" t="s">
        <v>23</v>
      </c>
    </row>
    <row r="19">
      <c r="A19" s="14">
        <v>45611.0</v>
      </c>
      <c r="B19" s="8" t="str">
        <f t="shared" si="1"/>
        <v>Nov-24</v>
      </c>
      <c r="D19" s="12" t="s">
        <v>17</v>
      </c>
      <c r="E19" s="13">
        <v>170.0</v>
      </c>
      <c r="F19" s="13">
        <v>8.0</v>
      </c>
      <c r="G19" s="8">
        <f t="shared" si="2"/>
        <v>178</v>
      </c>
      <c r="H19" s="13" t="s">
        <v>46</v>
      </c>
    </row>
    <row r="20">
      <c r="A20" s="14">
        <v>45611.0</v>
      </c>
      <c r="B20" s="8" t="str">
        <f t="shared" si="1"/>
        <v>Nov-24</v>
      </c>
      <c r="D20" s="12" t="s">
        <v>17</v>
      </c>
      <c r="E20" s="13">
        <v>175.0</v>
      </c>
      <c r="F20" s="13">
        <v>5.0</v>
      </c>
      <c r="G20" s="8">
        <f t="shared" si="2"/>
        <v>180</v>
      </c>
      <c r="H20" s="13" t="s">
        <v>22</v>
      </c>
    </row>
    <row r="21" ht="15.75" customHeight="1">
      <c r="A21" s="14">
        <v>45611.0</v>
      </c>
      <c r="B21" s="8" t="str">
        <f t="shared" si="1"/>
        <v>Nov-24</v>
      </c>
      <c r="D21" s="12" t="s">
        <v>17</v>
      </c>
      <c r="E21" s="13">
        <v>50.0</v>
      </c>
      <c r="F21" s="13">
        <v>5.0</v>
      </c>
      <c r="G21" s="8">
        <f t="shared" si="2"/>
        <v>55</v>
      </c>
      <c r="H21" s="13" t="s">
        <v>23</v>
      </c>
    </row>
    <row r="22" ht="15.75" customHeight="1">
      <c r="A22" s="14">
        <v>45612.0</v>
      </c>
      <c r="B22" s="8" t="str">
        <f t="shared" si="1"/>
        <v>Nov-24</v>
      </c>
      <c r="D22" s="12" t="s">
        <v>17</v>
      </c>
      <c r="E22" s="13">
        <v>75.0</v>
      </c>
      <c r="F22" s="13">
        <v>5.0</v>
      </c>
      <c r="G22" s="8">
        <f t="shared" si="2"/>
        <v>80</v>
      </c>
      <c r="H22" s="13" t="s">
        <v>23</v>
      </c>
      <c r="I22" s="13" t="s">
        <v>64</v>
      </c>
    </row>
    <row r="23" ht="15.75" customHeight="1">
      <c r="A23" s="14">
        <v>45612.0</v>
      </c>
      <c r="B23" s="8" t="str">
        <f t="shared" si="1"/>
        <v>Nov-24</v>
      </c>
      <c r="D23" s="12" t="s">
        <v>11</v>
      </c>
      <c r="E23" s="13">
        <v>140.0</v>
      </c>
      <c r="F23" s="13">
        <v>4.0</v>
      </c>
      <c r="G23" s="8">
        <f t="shared" si="2"/>
        <v>144</v>
      </c>
      <c r="H23" s="13" t="s">
        <v>58</v>
      </c>
      <c r="I23" s="13" t="s">
        <v>64</v>
      </c>
    </row>
    <row r="24" ht="15.75" customHeight="1">
      <c r="A24" s="14">
        <v>45612.0</v>
      </c>
      <c r="B24" s="8" t="str">
        <f t="shared" si="1"/>
        <v>Nov-24</v>
      </c>
      <c r="D24" s="12" t="s">
        <v>17</v>
      </c>
      <c r="E24" s="13">
        <v>48.0</v>
      </c>
      <c r="G24" s="8">
        <f t="shared" si="2"/>
        <v>48</v>
      </c>
      <c r="H24" s="13" t="s">
        <v>46</v>
      </c>
      <c r="I24" s="13" t="s">
        <v>64</v>
      </c>
    </row>
    <row r="25" ht="15.75" customHeight="1">
      <c r="A25" s="14">
        <v>45614.0</v>
      </c>
      <c r="B25" s="8" t="str">
        <f t="shared" si="1"/>
        <v>Nov-24</v>
      </c>
      <c r="D25" s="12" t="s">
        <v>11</v>
      </c>
      <c r="E25" s="13">
        <v>150.0</v>
      </c>
      <c r="F25" s="13">
        <v>5.0</v>
      </c>
      <c r="G25" s="8">
        <f t="shared" si="2"/>
        <v>155</v>
      </c>
      <c r="H25" s="13" t="s">
        <v>58</v>
      </c>
      <c r="I25" s="13" t="s">
        <v>64</v>
      </c>
    </row>
    <row r="26" ht="15.75" customHeight="1">
      <c r="A26" s="14">
        <v>45623.0</v>
      </c>
      <c r="B26" s="8" t="str">
        <f t="shared" si="1"/>
        <v>Nov-24</v>
      </c>
      <c r="C26" s="13">
        <v>72.0</v>
      </c>
      <c r="D26" s="12" t="s">
        <v>31</v>
      </c>
      <c r="E26" s="13">
        <v>37.0</v>
      </c>
      <c r="F26" s="13">
        <v>43.0</v>
      </c>
      <c r="G26" s="8">
        <f t="shared" si="2"/>
        <v>80</v>
      </c>
      <c r="H26" s="13" t="s">
        <v>23</v>
      </c>
    </row>
    <row r="27" ht="15.75" customHeight="1">
      <c r="A27" s="14">
        <v>45623.0</v>
      </c>
      <c r="B27" s="8" t="str">
        <f t="shared" si="1"/>
        <v>Nov-24</v>
      </c>
      <c r="C27" s="13">
        <v>72.0</v>
      </c>
      <c r="D27" s="12" t="s">
        <v>15</v>
      </c>
      <c r="E27" s="13">
        <v>17.0</v>
      </c>
      <c r="F27" s="13">
        <v>45.0</v>
      </c>
      <c r="G27" s="8">
        <f t="shared" si="2"/>
        <v>62</v>
      </c>
      <c r="H27" s="13" t="s">
        <v>23</v>
      </c>
    </row>
    <row r="28" ht="15.75" customHeight="1">
      <c r="A28" s="14">
        <v>45623.0</v>
      </c>
      <c r="B28" s="8" t="str">
        <f t="shared" si="1"/>
        <v>Nov-24</v>
      </c>
      <c r="C28" s="13">
        <v>72.0</v>
      </c>
      <c r="D28" s="12" t="s">
        <v>28</v>
      </c>
      <c r="E28" s="13">
        <v>30.0</v>
      </c>
      <c r="F28" s="13">
        <v>88.0</v>
      </c>
      <c r="G28" s="8">
        <f t="shared" si="2"/>
        <v>118</v>
      </c>
      <c r="H28" s="13" t="s">
        <v>23</v>
      </c>
    </row>
    <row r="29" ht="15.75" customHeight="1">
      <c r="A29" s="14">
        <v>45629.0</v>
      </c>
      <c r="B29" s="8" t="str">
        <f t="shared" si="1"/>
        <v>Dec-24</v>
      </c>
      <c r="C29" s="13">
        <v>73.0</v>
      </c>
      <c r="D29" s="12" t="s">
        <v>14</v>
      </c>
      <c r="E29" s="13">
        <v>300.0</v>
      </c>
      <c r="F29" s="13">
        <v>12.0</v>
      </c>
      <c r="G29" s="8">
        <f t="shared" si="2"/>
        <v>312</v>
      </c>
      <c r="H29" s="13" t="s">
        <v>53</v>
      </c>
    </row>
    <row r="30" ht="15.75" customHeight="1">
      <c r="A30" s="14">
        <v>45629.0</v>
      </c>
      <c r="B30" s="8" t="str">
        <f t="shared" si="1"/>
        <v>Dec-24</v>
      </c>
      <c r="C30" s="13">
        <v>73.0</v>
      </c>
      <c r="D30" s="12" t="s">
        <v>14</v>
      </c>
      <c r="E30" s="13">
        <v>250.0</v>
      </c>
      <c r="F30" s="13">
        <v>7.0</v>
      </c>
      <c r="G30" s="8">
        <f t="shared" si="2"/>
        <v>257</v>
      </c>
      <c r="H30" s="13" t="s">
        <v>23</v>
      </c>
    </row>
    <row r="31" ht="15.75" customHeight="1">
      <c r="A31" s="14">
        <v>45630.0</v>
      </c>
      <c r="B31" s="8" t="str">
        <f t="shared" si="1"/>
        <v>Dec-24</v>
      </c>
      <c r="C31" s="13">
        <v>73.0</v>
      </c>
      <c r="D31" s="12" t="s">
        <v>14</v>
      </c>
      <c r="E31" s="13">
        <v>83.0</v>
      </c>
      <c r="F31" s="13">
        <v>3.0</v>
      </c>
      <c r="G31" s="8">
        <f t="shared" si="2"/>
        <v>86</v>
      </c>
      <c r="H31" s="13" t="s">
        <v>23</v>
      </c>
    </row>
    <row r="32" ht="15.75" customHeight="1">
      <c r="A32" s="14">
        <v>45630.0</v>
      </c>
      <c r="B32" s="8" t="str">
        <f t="shared" si="1"/>
        <v>Dec-24</v>
      </c>
      <c r="C32" s="13">
        <v>73.0</v>
      </c>
      <c r="D32" s="12" t="s">
        <v>31</v>
      </c>
      <c r="E32" s="13">
        <v>73.0</v>
      </c>
      <c r="F32" s="13">
        <v>23.0</v>
      </c>
      <c r="G32" s="8">
        <f t="shared" si="2"/>
        <v>96</v>
      </c>
      <c r="H32" s="13" t="s">
        <v>23</v>
      </c>
    </row>
    <row r="33" ht="15.75" customHeight="1">
      <c r="A33" s="14">
        <v>45631.0</v>
      </c>
      <c r="B33" s="8" t="str">
        <f t="shared" si="1"/>
        <v>Dec-24</v>
      </c>
      <c r="D33" s="12" t="s">
        <v>15</v>
      </c>
      <c r="E33" s="13">
        <v>85.0</v>
      </c>
      <c r="F33" s="13">
        <v>18.0</v>
      </c>
      <c r="G33" s="8">
        <f t="shared" si="2"/>
        <v>103</v>
      </c>
      <c r="H33" s="13" t="s">
        <v>53</v>
      </c>
    </row>
    <row r="34" ht="15.75" customHeight="1">
      <c r="A34" s="14">
        <v>45631.0</v>
      </c>
      <c r="B34" s="8" t="str">
        <f t="shared" si="1"/>
        <v>Dec-24</v>
      </c>
      <c r="D34" s="12" t="s">
        <v>24</v>
      </c>
      <c r="E34" s="13">
        <v>73.0</v>
      </c>
      <c r="F34" s="13">
        <v>6.0</v>
      </c>
      <c r="G34" s="8">
        <f t="shared" si="2"/>
        <v>79</v>
      </c>
      <c r="H34" s="13" t="s">
        <v>53</v>
      </c>
    </row>
    <row r="35" ht="15.75" customHeight="1">
      <c r="A35" s="14">
        <v>45638.0</v>
      </c>
      <c r="B35" s="8" t="str">
        <f t="shared" si="1"/>
        <v>Dec-24</v>
      </c>
      <c r="D35" s="12" t="s">
        <v>11</v>
      </c>
      <c r="E35" s="13">
        <v>170.0</v>
      </c>
      <c r="F35" s="13">
        <v>100.0</v>
      </c>
      <c r="G35" s="8">
        <f t="shared" si="2"/>
        <v>270</v>
      </c>
      <c r="H35" s="13" t="s">
        <v>23</v>
      </c>
    </row>
    <row r="36" ht="15.75" customHeight="1">
      <c r="A36" s="14">
        <v>45639.0</v>
      </c>
      <c r="B36" s="8" t="str">
        <f t="shared" si="1"/>
        <v>Dec-24</v>
      </c>
      <c r="D36" s="12" t="s">
        <v>11</v>
      </c>
      <c r="E36" s="13">
        <v>183.0</v>
      </c>
      <c r="F36" s="13">
        <v>111.0</v>
      </c>
      <c r="G36" s="8">
        <f t="shared" si="2"/>
        <v>294</v>
      </c>
      <c r="H36" s="13" t="s">
        <v>23</v>
      </c>
    </row>
    <row r="37" ht="15.75" customHeight="1">
      <c r="A37" s="14">
        <v>45639.0</v>
      </c>
      <c r="B37" s="8" t="str">
        <f t="shared" si="1"/>
        <v>Dec-24</v>
      </c>
      <c r="D37" s="12" t="s">
        <v>14</v>
      </c>
      <c r="E37" s="13">
        <v>143.0</v>
      </c>
      <c r="F37" s="13">
        <v>100.0</v>
      </c>
      <c r="G37" s="8">
        <f t="shared" si="2"/>
        <v>243</v>
      </c>
      <c r="H37" s="13" t="s">
        <v>53</v>
      </c>
    </row>
    <row r="38" ht="15.75" customHeight="1">
      <c r="A38" s="14">
        <v>45639.0</v>
      </c>
      <c r="B38" s="8" t="str">
        <f t="shared" si="1"/>
        <v>Dec-24</v>
      </c>
      <c r="D38" s="12" t="s">
        <v>14</v>
      </c>
      <c r="E38" s="13">
        <v>109.0</v>
      </c>
      <c r="F38" s="13">
        <v>72.0</v>
      </c>
      <c r="G38" s="8">
        <f t="shared" si="2"/>
        <v>181</v>
      </c>
      <c r="H38" s="13" t="s">
        <v>53</v>
      </c>
    </row>
    <row r="39" ht="15.75" customHeight="1">
      <c r="A39" s="14">
        <v>45640.0</v>
      </c>
      <c r="B39" s="8" t="str">
        <f t="shared" si="1"/>
        <v>Dec-24</v>
      </c>
      <c r="C39" s="13">
        <v>74.0</v>
      </c>
      <c r="D39" s="12" t="s">
        <v>31</v>
      </c>
      <c r="E39" s="13">
        <v>104.0</v>
      </c>
      <c r="F39" s="13">
        <v>58.0</v>
      </c>
      <c r="G39" s="8">
        <f t="shared" si="2"/>
        <v>162</v>
      </c>
      <c r="H39" s="13" t="s">
        <v>23</v>
      </c>
    </row>
    <row r="40" ht="15.75" customHeight="1">
      <c r="A40" s="14">
        <v>45640.0</v>
      </c>
      <c r="B40" s="8" t="str">
        <f t="shared" si="1"/>
        <v>Dec-24</v>
      </c>
      <c r="C40" s="13">
        <v>74.0</v>
      </c>
      <c r="D40" s="12" t="s">
        <v>24</v>
      </c>
      <c r="E40" s="13">
        <v>51.0</v>
      </c>
      <c r="F40" s="13">
        <v>7.0</v>
      </c>
      <c r="G40" s="8">
        <f t="shared" si="2"/>
        <v>58</v>
      </c>
      <c r="H40" s="13" t="s">
        <v>23</v>
      </c>
    </row>
    <row r="41" ht="15.75" customHeight="1">
      <c r="A41" s="14">
        <v>45642.0</v>
      </c>
      <c r="B41" s="8" t="str">
        <f t="shared" si="1"/>
        <v>Dec-24</v>
      </c>
      <c r="C41" s="13">
        <v>74.0</v>
      </c>
      <c r="D41" s="12" t="s">
        <v>17</v>
      </c>
      <c r="E41" s="13">
        <v>600.0</v>
      </c>
      <c r="F41" s="13">
        <v>75.0</v>
      </c>
      <c r="G41" s="8">
        <f t="shared" si="2"/>
        <v>675</v>
      </c>
      <c r="H41" s="13" t="s">
        <v>59</v>
      </c>
    </row>
    <row r="42" ht="15.75" customHeight="1">
      <c r="A42" s="14">
        <v>45642.0</v>
      </c>
      <c r="B42" s="8" t="str">
        <f t="shared" si="1"/>
        <v>Dec-24</v>
      </c>
      <c r="C42" s="13">
        <v>74.0</v>
      </c>
      <c r="D42" s="12" t="s">
        <v>17</v>
      </c>
      <c r="E42" s="13">
        <v>500.0</v>
      </c>
      <c r="F42" s="13">
        <v>86.0</v>
      </c>
      <c r="G42" s="8">
        <f t="shared" si="2"/>
        <v>586</v>
      </c>
      <c r="H42" s="13" t="s">
        <v>46</v>
      </c>
    </row>
    <row r="43" ht="15.75" customHeight="1">
      <c r="A43" s="14">
        <v>45642.0</v>
      </c>
      <c r="B43" s="8" t="str">
        <f t="shared" si="1"/>
        <v>Dec-24</v>
      </c>
      <c r="D43" s="12" t="s">
        <v>15</v>
      </c>
      <c r="E43" s="13">
        <v>46.0</v>
      </c>
      <c r="F43" s="13">
        <v>92.0</v>
      </c>
      <c r="G43" s="8">
        <f t="shared" si="2"/>
        <v>138</v>
      </c>
      <c r="H43" s="13" t="s">
        <v>53</v>
      </c>
    </row>
    <row r="44" ht="15.75" customHeight="1">
      <c r="A44" s="14">
        <v>45643.0</v>
      </c>
      <c r="B44" s="8" t="str">
        <f t="shared" si="1"/>
        <v>Dec-24</v>
      </c>
      <c r="D44" s="12" t="s">
        <v>17</v>
      </c>
      <c r="E44" s="13">
        <v>510.0</v>
      </c>
      <c r="F44" s="13">
        <v>65.0</v>
      </c>
      <c r="G44" s="8">
        <f t="shared" si="2"/>
        <v>575</v>
      </c>
      <c r="H44" s="13" t="s">
        <v>59</v>
      </c>
    </row>
    <row r="45" ht="15.75" customHeight="1">
      <c r="A45" s="14">
        <v>45643.0</v>
      </c>
      <c r="B45" s="8" t="str">
        <f>TEXT(A46,"mmm-yy")</f>
        <v>Dec-24</v>
      </c>
      <c r="D45" s="12" t="s">
        <v>17</v>
      </c>
      <c r="E45" s="13">
        <v>400.0</v>
      </c>
      <c r="F45" s="13">
        <v>102.0</v>
      </c>
      <c r="G45" s="8">
        <f t="shared" si="2"/>
        <v>502</v>
      </c>
      <c r="H45" s="13" t="s">
        <v>58</v>
      </c>
    </row>
    <row r="46" ht="15.75" customHeight="1">
      <c r="A46" s="14">
        <v>45656.0</v>
      </c>
      <c r="B46" s="8" t="str">
        <f t="shared" ref="B46:B104" si="3">TEXT(A46,"mmm-yy")</f>
        <v>Dec-24</v>
      </c>
      <c r="C46" s="13" t="s">
        <v>40</v>
      </c>
      <c r="D46" s="12" t="s">
        <v>11</v>
      </c>
      <c r="E46" s="13">
        <v>390.0</v>
      </c>
      <c r="F46" s="13">
        <v>120.0</v>
      </c>
      <c r="G46" s="8">
        <f t="shared" si="2"/>
        <v>510</v>
      </c>
      <c r="H46" s="13" t="s">
        <v>58</v>
      </c>
    </row>
    <row r="47" ht="15.75" customHeight="1">
      <c r="A47" s="14">
        <v>45656.0</v>
      </c>
      <c r="B47" s="8" t="str">
        <f t="shared" si="3"/>
        <v>Dec-24</v>
      </c>
      <c r="C47" s="13" t="s">
        <v>40</v>
      </c>
      <c r="D47" s="12" t="s">
        <v>17</v>
      </c>
      <c r="E47" s="13">
        <v>253.0</v>
      </c>
      <c r="F47" s="13">
        <v>60.0</v>
      </c>
      <c r="G47" s="8">
        <f t="shared" si="2"/>
        <v>313</v>
      </c>
      <c r="H47" s="13" t="s">
        <v>23</v>
      </c>
    </row>
    <row r="48" ht="15.75" customHeight="1">
      <c r="A48" s="14">
        <v>45657.0</v>
      </c>
      <c r="B48" s="8" t="str">
        <f t="shared" si="3"/>
        <v>Dec-24</v>
      </c>
      <c r="C48" s="13" t="s">
        <v>40</v>
      </c>
      <c r="D48" s="12" t="s">
        <v>14</v>
      </c>
      <c r="E48" s="13">
        <v>202.0</v>
      </c>
      <c r="F48" s="13">
        <v>52.0</v>
      </c>
      <c r="G48" s="8">
        <f t="shared" si="2"/>
        <v>254</v>
      </c>
      <c r="H48" s="13" t="s">
        <v>37</v>
      </c>
    </row>
    <row r="49" ht="15.75" customHeight="1">
      <c r="A49" s="14">
        <v>45657.0</v>
      </c>
      <c r="B49" s="8" t="str">
        <f t="shared" si="3"/>
        <v>Dec-24</v>
      </c>
      <c r="C49" s="13" t="s">
        <v>40</v>
      </c>
      <c r="D49" s="12" t="s">
        <v>11</v>
      </c>
      <c r="E49" s="13">
        <v>261.0</v>
      </c>
      <c r="F49" s="13">
        <v>106.0</v>
      </c>
      <c r="G49" s="8">
        <f t="shared" si="2"/>
        <v>367</v>
      </c>
      <c r="H49" s="13" t="s">
        <v>23</v>
      </c>
    </row>
    <row r="50" ht="15.75" customHeight="1">
      <c r="A50" s="14">
        <v>45659.0</v>
      </c>
      <c r="B50" s="8" t="str">
        <f t="shared" si="3"/>
        <v>Jan-25</v>
      </c>
      <c r="C50" s="13" t="s">
        <v>40</v>
      </c>
      <c r="D50" s="12" t="s">
        <v>31</v>
      </c>
      <c r="E50" s="13">
        <v>165.0</v>
      </c>
      <c r="F50" s="13">
        <v>50.0</v>
      </c>
      <c r="G50" s="8">
        <f t="shared" si="2"/>
        <v>215</v>
      </c>
      <c r="H50" s="13" t="s">
        <v>59</v>
      </c>
    </row>
    <row r="51" ht="15.75" customHeight="1">
      <c r="A51" s="14">
        <v>45659.0</v>
      </c>
      <c r="B51" s="8" t="str">
        <f t="shared" si="3"/>
        <v>Jan-25</v>
      </c>
      <c r="C51" s="13" t="s">
        <v>40</v>
      </c>
      <c r="D51" s="12" t="s">
        <v>14</v>
      </c>
      <c r="E51" s="13">
        <v>311.0</v>
      </c>
      <c r="F51" s="13">
        <v>80.0</v>
      </c>
      <c r="G51" s="8">
        <f t="shared" si="2"/>
        <v>391</v>
      </c>
      <c r="H51" s="13" t="s">
        <v>53</v>
      </c>
    </row>
    <row r="52" ht="15.75" customHeight="1">
      <c r="A52" s="14">
        <v>45659.0</v>
      </c>
      <c r="B52" s="8" t="str">
        <f t="shared" si="3"/>
        <v>Jan-25</v>
      </c>
      <c r="C52" s="13" t="s">
        <v>40</v>
      </c>
      <c r="D52" s="12" t="s">
        <v>14</v>
      </c>
      <c r="E52" s="13">
        <v>190.0</v>
      </c>
      <c r="F52" s="13">
        <v>60.0</v>
      </c>
      <c r="G52" s="8">
        <f t="shared" si="2"/>
        <v>250</v>
      </c>
      <c r="H52" s="13" t="s">
        <v>37</v>
      </c>
    </row>
    <row r="53" ht="15.75" customHeight="1">
      <c r="A53" s="14">
        <v>45659.0</v>
      </c>
      <c r="B53" s="8" t="str">
        <f t="shared" si="3"/>
        <v>Jan-25</v>
      </c>
      <c r="C53" s="13" t="s">
        <v>40</v>
      </c>
      <c r="D53" s="12" t="s">
        <v>31</v>
      </c>
      <c r="E53" s="13">
        <v>115.0</v>
      </c>
      <c r="F53" s="13">
        <v>40.0</v>
      </c>
      <c r="G53" s="8">
        <f t="shared" si="2"/>
        <v>155</v>
      </c>
      <c r="H53" s="13" t="s">
        <v>37</v>
      </c>
    </row>
    <row r="54" ht="15.75" customHeight="1">
      <c r="A54" s="14">
        <v>45659.0</v>
      </c>
      <c r="B54" s="8" t="str">
        <f t="shared" si="3"/>
        <v>Jan-25</v>
      </c>
      <c r="C54" s="13" t="s">
        <v>40</v>
      </c>
      <c r="D54" s="12" t="s">
        <v>11</v>
      </c>
      <c r="E54" s="13">
        <v>177.0</v>
      </c>
      <c r="F54" s="13">
        <v>80.0</v>
      </c>
      <c r="G54" s="8">
        <f t="shared" si="2"/>
        <v>257</v>
      </c>
      <c r="H54" s="13" t="s">
        <v>23</v>
      </c>
    </row>
    <row r="55" ht="15.75" customHeight="1">
      <c r="A55" s="14">
        <v>45659.0</v>
      </c>
      <c r="B55" s="8" t="str">
        <f t="shared" si="3"/>
        <v>Jan-25</v>
      </c>
      <c r="C55" s="13" t="s">
        <v>40</v>
      </c>
      <c r="D55" s="12" t="s">
        <v>14</v>
      </c>
      <c r="E55" s="13">
        <v>115.0</v>
      </c>
      <c r="F55" s="13">
        <v>41.0</v>
      </c>
      <c r="G55" s="8">
        <f t="shared" si="2"/>
        <v>156</v>
      </c>
      <c r="H55" s="13" t="s">
        <v>23</v>
      </c>
    </row>
    <row r="56" ht="15.75" customHeight="1">
      <c r="A56" s="14">
        <v>45660.0</v>
      </c>
      <c r="B56" s="8" t="str">
        <f t="shared" si="3"/>
        <v>Jan-25</v>
      </c>
      <c r="C56" s="13" t="s">
        <v>40</v>
      </c>
      <c r="D56" s="12" t="s">
        <v>17</v>
      </c>
      <c r="E56" s="13">
        <v>167.0</v>
      </c>
      <c r="G56" s="8">
        <f t="shared" si="2"/>
        <v>167</v>
      </c>
      <c r="H56" s="13" t="s">
        <v>59</v>
      </c>
    </row>
    <row r="57" ht="15.75" customHeight="1">
      <c r="A57" s="14">
        <v>45660.0</v>
      </c>
      <c r="B57" s="8" t="str">
        <f t="shared" si="3"/>
        <v>Jan-25</v>
      </c>
      <c r="C57" s="13" t="s">
        <v>40</v>
      </c>
      <c r="D57" s="12" t="s">
        <v>24</v>
      </c>
      <c r="E57" s="13">
        <v>129.0</v>
      </c>
      <c r="F57" s="13">
        <v>39.0</v>
      </c>
      <c r="G57" s="8">
        <f t="shared" si="2"/>
        <v>168</v>
      </c>
      <c r="H57" s="13" t="s">
        <v>53</v>
      </c>
    </row>
    <row r="58" ht="15.75" customHeight="1">
      <c r="A58" s="14">
        <v>45660.0</v>
      </c>
      <c r="B58" s="8" t="str">
        <f t="shared" si="3"/>
        <v>Jan-25</v>
      </c>
      <c r="C58" s="13" t="s">
        <v>40</v>
      </c>
      <c r="D58" s="12" t="s">
        <v>31</v>
      </c>
      <c r="E58" s="13">
        <v>19.0</v>
      </c>
      <c r="F58" s="13">
        <v>13.0</v>
      </c>
      <c r="G58" s="8">
        <f t="shared" si="2"/>
        <v>32</v>
      </c>
      <c r="H58" s="13" t="s">
        <v>53</v>
      </c>
    </row>
    <row r="59" ht="15.75" customHeight="1">
      <c r="A59" s="14">
        <v>45660.0</v>
      </c>
      <c r="B59" s="8" t="str">
        <f t="shared" si="3"/>
        <v>Jan-25</v>
      </c>
      <c r="C59" s="13" t="s">
        <v>40</v>
      </c>
      <c r="D59" s="12" t="s">
        <v>14</v>
      </c>
      <c r="E59" s="13">
        <v>147.0</v>
      </c>
      <c r="F59" s="13">
        <v>72.0</v>
      </c>
      <c r="G59" s="8">
        <f t="shared" si="2"/>
        <v>219</v>
      </c>
      <c r="H59" s="13" t="s">
        <v>23</v>
      </c>
    </row>
    <row r="60" ht="15.75" customHeight="1">
      <c r="A60" s="14">
        <v>45661.0</v>
      </c>
      <c r="B60" s="8" t="str">
        <f t="shared" si="3"/>
        <v>Jan-25</v>
      </c>
      <c r="D60" s="12" t="s">
        <v>17</v>
      </c>
      <c r="E60" s="13">
        <v>300.0</v>
      </c>
      <c r="F60" s="13">
        <v>13.0</v>
      </c>
      <c r="G60" s="8">
        <f t="shared" si="2"/>
        <v>313</v>
      </c>
      <c r="H60" s="13" t="s">
        <v>59</v>
      </c>
    </row>
    <row r="61" ht="15.75" customHeight="1">
      <c r="A61" s="14">
        <v>45664.0</v>
      </c>
      <c r="B61" s="8" t="str">
        <f t="shared" si="3"/>
        <v>Jan-25</v>
      </c>
      <c r="D61" s="12" t="s">
        <v>17</v>
      </c>
      <c r="E61" s="13">
        <v>256.0</v>
      </c>
      <c r="F61" s="13">
        <v>184.0</v>
      </c>
      <c r="G61" s="8">
        <f t="shared" si="2"/>
        <v>440</v>
      </c>
      <c r="H61" s="13" t="s">
        <v>59</v>
      </c>
    </row>
    <row r="62" ht="15.75" customHeight="1">
      <c r="A62" s="14">
        <v>45670.0</v>
      </c>
      <c r="B62" s="8" t="str">
        <f t="shared" si="3"/>
        <v>Jan-25</v>
      </c>
      <c r="C62" s="13">
        <v>77.0</v>
      </c>
      <c r="D62" s="12" t="s">
        <v>14</v>
      </c>
      <c r="E62" s="13">
        <v>210.0</v>
      </c>
      <c r="F62" s="13">
        <v>260.0</v>
      </c>
      <c r="G62" s="8">
        <f t="shared" si="2"/>
        <v>470</v>
      </c>
      <c r="H62" s="13" t="s">
        <v>46</v>
      </c>
    </row>
    <row r="63" ht="15.75" customHeight="1">
      <c r="A63" s="14">
        <v>45671.0</v>
      </c>
      <c r="B63" s="8" t="str">
        <f t="shared" si="3"/>
        <v>Jan-25</v>
      </c>
      <c r="C63" s="13">
        <v>77.0</v>
      </c>
      <c r="D63" s="12" t="s">
        <v>11</v>
      </c>
      <c r="E63" s="13">
        <v>50.0</v>
      </c>
      <c r="F63" s="13">
        <v>25.0</v>
      </c>
      <c r="G63" s="8">
        <f t="shared" si="2"/>
        <v>75</v>
      </c>
      <c r="H63" s="13" t="s">
        <v>23</v>
      </c>
    </row>
    <row r="64" ht="15.75" customHeight="1">
      <c r="A64" s="14">
        <v>45671.0</v>
      </c>
      <c r="B64" s="8" t="str">
        <f t="shared" si="3"/>
        <v>Jan-25</v>
      </c>
      <c r="C64" s="13">
        <v>77.0</v>
      </c>
      <c r="D64" s="12" t="s">
        <v>11</v>
      </c>
      <c r="E64" s="13">
        <v>155.0</v>
      </c>
      <c r="F64" s="13">
        <v>100.0</v>
      </c>
      <c r="G64" s="8">
        <f t="shared" si="2"/>
        <v>255</v>
      </c>
      <c r="H64" s="13" t="s">
        <v>23</v>
      </c>
    </row>
    <row r="65" ht="15.75" customHeight="1">
      <c r="A65" s="14">
        <v>45671.0</v>
      </c>
      <c r="B65" s="8" t="str">
        <f t="shared" si="3"/>
        <v>Jan-25</v>
      </c>
      <c r="C65" s="13">
        <v>77.0</v>
      </c>
      <c r="D65" s="12" t="s">
        <v>14</v>
      </c>
      <c r="E65" s="13">
        <v>130.0</v>
      </c>
      <c r="F65" s="13">
        <v>85.0</v>
      </c>
      <c r="G65" s="8">
        <f t="shared" si="2"/>
        <v>215</v>
      </c>
      <c r="H65" s="13" t="s">
        <v>46</v>
      </c>
    </row>
    <row r="66" ht="15.75" customHeight="1">
      <c r="A66" s="14">
        <v>45672.0</v>
      </c>
      <c r="B66" s="8" t="str">
        <f t="shared" si="3"/>
        <v>Jan-25</v>
      </c>
      <c r="C66" s="13">
        <v>77.0</v>
      </c>
      <c r="D66" s="12" t="s">
        <v>11</v>
      </c>
      <c r="E66" s="13">
        <v>252.0</v>
      </c>
      <c r="F66" s="13">
        <v>110.0</v>
      </c>
      <c r="G66" s="8">
        <f t="shared" si="2"/>
        <v>362</v>
      </c>
      <c r="H66" s="13" t="s">
        <v>23</v>
      </c>
    </row>
    <row r="67" ht="15.75" customHeight="1">
      <c r="A67" s="14">
        <v>45675.0</v>
      </c>
      <c r="B67" s="8" t="str">
        <f t="shared" si="3"/>
        <v>Jan-25</v>
      </c>
      <c r="C67" s="13">
        <v>77.0</v>
      </c>
      <c r="D67" s="12" t="s">
        <v>17</v>
      </c>
      <c r="E67" s="13">
        <v>360.0</v>
      </c>
      <c r="F67" s="13">
        <v>176.0</v>
      </c>
      <c r="G67" s="8">
        <f t="shared" si="2"/>
        <v>536</v>
      </c>
      <c r="H67" s="13" t="s">
        <v>46</v>
      </c>
    </row>
    <row r="68" ht="15.75" customHeight="1">
      <c r="A68" s="14">
        <v>45675.0</v>
      </c>
      <c r="B68" s="8" t="str">
        <f t="shared" si="3"/>
        <v>Jan-25</v>
      </c>
      <c r="C68" s="13">
        <v>77.0</v>
      </c>
      <c r="D68" s="12" t="s">
        <v>17</v>
      </c>
      <c r="E68" s="13">
        <v>100.0</v>
      </c>
      <c r="F68" s="13">
        <v>10.0</v>
      </c>
      <c r="G68" s="8">
        <f t="shared" si="2"/>
        <v>110</v>
      </c>
      <c r="H68" s="13" t="s">
        <v>58</v>
      </c>
    </row>
    <row r="69" ht="15.75" customHeight="1">
      <c r="A69" s="14">
        <v>45681.0</v>
      </c>
      <c r="B69" s="8" t="str">
        <f t="shared" si="3"/>
        <v>Jan-25</v>
      </c>
      <c r="C69" s="13">
        <v>78.0</v>
      </c>
      <c r="D69" s="12" t="s">
        <v>17</v>
      </c>
      <c r="E69" s="13">
        <v>509.0</v>
      </c>
      <c r="F69" s="13">
        <v>72.0</v>
      </c>
      <c r="G69" s="8">
        <f t="shared" si="2"/>
        <v>581</v>
      </c>
      <c r="H69" s="13" t="s">
        <v>58</v>
      </c>
    </row>
    <row r="70" ht="15.75" customHeight="1">
      <c r="A70" s="14">
        <v>45687.0</v>
      </c>
      <c r="B70" s="8" t="str">
        <f t="shared" si="3"/>
        <v>Jan-25</v>
      </c>
      <c r="C70" s="13">
        <v>79.0</v>
      </c>
      <c r="D70" s="12" t="s">
        <v>14</v>
      </c>
      <c r="E70" s="13">
        <v>205.0</v>
      </c>
      <c r="F70" s="13">
        <v>198.0</v>
      </c>
      <c r="G70" s="8">
        <f t="shared" si="2"/>
        <v>403</v>
      </c>
      <c r="H70" s="13" t="s">
        <v>23</v>
      </c>
    </row>
    <row r="71" ht="15.75" customHeight="1">
      <c r="A71" s="14">
        <v>45687.0</v>
      </c>
      <c r="B71" s="8" t="str">
        <f t="shared" si="3"/>
        <v>Jan-25</v>
      </c>
      <c r="C71" s="13">
        <v>79.0</v>
      </c>
      <c r="D71" s="12" t="s">
        <v>14</v>
      </c>
      <c r="E71" s="13">
        <v>30.0</v>
      </c>
      <c r="F71" s="13">
        <v>60.0</v>
      </c>
      <c r="G71" s="8">
        <f t="shared" si="2"/>
        <v>90</v>
      </c>
      <c r="H71" s="13" t="s">
        <v>58</v>
      </c>
    </row>
    <row r="72" ht="15.75" customHeight="1">
      <c r="A72" s="14">
        <v>45688.0</v>
      </c>
      <c r="B72" s="8" t="str">
        <f t="shared" si="3"/>
        <v>Jan-25</v>
      </c>
      <c r="C72" s="13">
        <v>79.0</v>
      </c>
      <c r="D72" s="12" t="s">
        <v>14</v>
      </c>
      <c r="E72" s="13">
        <v>105.0</v>
      </c>
      <c r="F72" s="13">
        <v>217.0</v>
      </c>
      <c r="G72" s="8">
        <f t="shared" si="2"/>
        <v>322</v>
      </c>
      <c r="H72" s="13" t="s">
        <v>46</v>
      </c>
    </row>
    <row r="73" ht="15.75" customHeight="1">
      <c r="A73" s="14">
        <v>45688.0</v>
      </c>
      <c r="B73" s="8" t="str">
        <f t="shared" si="3"/>
        <v>Jan-25</v>
      </c>
      <c r="C73" s="13">
        <v>79.0</v>
      </c>
      <c r="D73" s="12" t="s">
        <v>14</v>
      </c>
      <c r="E73" s="13">
        <v>95.0</v>
      </c>
      <c r="F73" s="13">
        <v>180.0</v>
      </c>
      <c r="G73" s="8">
        <f t="shared" si="2"/>
        <v>275</v>
      </c>
      <c r="H73" s="13" t="s">
        <v>23</v>
      </c>
    </row>
    <row r="74" ht="15.75" customHeight="1">
      <c r="A74" s="14">
        <v>45688.0</v>
      </c>
      <c r="B74" s="8" t="str">
        <f t="shared" si="3"/>
        <v>Jan-25</v>
      </c>
      <c r="C74" s="13">
        <v>79.0</v>
      </c>
      <c r="D74" s="12" t="s">
        <v>24</v>
      </c>
      <c r="E74" s="13">
        <v>18.0</v>
      </c>
      <c r="F74" s="13">
        <v>28.0</v>
      </c>
      <c r="G74" s="8">
        <f t="shared" si="2"/>
        <v>46</v>
      </c>
      <c r="H74" s="13" t="s">
        <v>23</v>
      </c>
    </row>
    <row r="75" ht="15.75" customHeight="1">
      <c r="A75" s="14">
        <v>45688.0</v>
      </c>
      <c r="B75" s="8" t="str">
        <f t="shared" si="3"/>
        <v>Jan-25</v>
      </c>
      <c r="C75" s="13">
        <v>79.0</v>
      </c>
      <c r="D75" s="12" t="s">
        <v>15</v>
      </c>
      <c r="E75" s="13">
        <v>25.0</v>
      </c>
      <c r="F75" s="13">
        <v>65.0</v>
      </c>
      <c r="G75" s="8">
        <f t="shared" si="2"/>
        <v>90</v>
      </c>
      <c r="H75" s="13" t="s">
        <v>23</v>
      </c>
    </row>
    <row r="76" ht="15.75" customHeight="1">
      <c r="A76" s="14">
        <v>45688.0</v>
      </c>
      <c r="B76" s="8" t="str">
        <f t="shared" si="3"/>
        <v>Jan-25</v>
      </c>
      <c r="C76" s="13">
        <v>79.0</v>
      </c>
      <c r="D76" s="12" t="s">
        <v>31</v>
      </c>
      <c r="E76" s="13">
        <v>39.0</v>
      </c>
      <c r="F76" s="13">
        <v>97.0</v>
      </c>
      <c r="G76" s="8">
        <f t="shared" si="2"/>
        <v>136</v>
      </c>
      <c r="H76" s="13" t="s">
        <v>23</v>
      </c>
    </row>
    <row r="77" ht="15.75" customHeight="1">
      <c r="A77" s="14">
        <v>45689.0</v>
      </c>
      <c r="B77" s="8" t="str">
        <f t="shared" si="3"/>
        <v>Feb-25</v>
      </c>
      <c r="C77" s="13">
        <v>79.0</v>
      </c>
      <c r="D77" s="12" t="s">
        <v>11</v>
      </c>
      <c r="E77" s="13">
        <v>405.0</v>
      </c>
      <c r="F77" s="13">
        <v>275.0</v>
      </c>
      <c r="G77" s="8">
        <f t="shared" si="2"/>
        <v>680</v>
      </c>
      <c r="H77" s="13" t="s">
        <v>58</v>
      </c>
    </row>
    <row r="78" ht="15.75" customHeight="1">
      <c r="A78" s="14">
        <v>45689.0</v>
      </c>
      <c r="B78" s="8" t="str">
        <f t="shared" si="3"/>
        <v>Feb-25</v>
      </c>
      <c r="C78" s="13">
        <v>79.0</v>
      </c>
      <c r="D78" s="12" t="s">
        <v>31</v>
      </c>
      <c r="E78" s="13">
        <v>18.0</v>
      </c>
      <c r="F78" s="13">
        <v>82.0</v>
      </c>
      <c r="G78" s="8">
        <f t="shared" si="2"/>
        <v>100</v>
      </c>
      <c r="H78" s="13" t="s">
        <v>23</v>
      </c>
    </row>
    <row r="79" ht="15.75" customHeight="1">
      <c r="A79" s="14">
        <v>45689.0</v>
      </c>
      <c r="B79" s="8" t="str">
        <f t="shared" si="3"/>
        <v>Feb-25</v>
      </c>
      <c r="C79" s="13">
        <v>79.0</v>
      </c>
      <c r="D79" s="12" t="s">
        <v>15</v>
      </c>
      <c r="E79" s="13">
        <v>23.0</v>
      </c>
      <c r="F79" s="13">
        <v>57.0</v>
      </c>
      <c r="G79" s="8">
        <f t="shared" si="2"/>
        <v>80</v>
      </c>
      <c r="H79" s="13" t="s">
        <v>23</v>
      </c>
    </row>
    <row r="80" ht="15.75" customHeight="1">
      <c r="A80" s="14">
        <v>45689.0</v>
      </c>
      <c r="B80" s="8" t="str">
        <f t="shared" si="3"/>
        <v>Feb-25</v>
      </c>
      <c r="C80" s="13">
        <v>79.0</v>
      </c>
      <c r="D80" s="12" t="s">
        <v>14</v>
      </c>
      <c r="E80" s="13">
        <v>111.0</v>
      </c>
      <c r="F80" s="13">
        <v>2.0</v>
      </c>
      <c r="G80" s="8">
        <f t="shared" si="2"/>
        <v>113</v>
      </c>
      <c r="H80" s="13" t="s">
        <v>23</v>
      </c>
    </row>
    <row r="81" ht="15.75" customHeight="1">
      <c r="A81" s="14">
        <v>45691.0</v>
      </c>
      <c r="B81" s="8" t="str">
        <f t="shared" si="3"/>
        <v>Feb-25</v>
      </c>
      <c r="C81" s="13">
        <v>79.0</v>
      </c>
      <c r="D81" s="12" t="s">
        <v>11</v>
      </c>
      <c r="E81" s="13">
        <v>40.0</v>
      </c>
      <c r="F81" s="13">
        <v>46.0</v>
      </c>
      <c r="G81" s="8">
        <f t="shared" si="2"/>
        <v>86</v>
      </c>
      <c r="H81" s="13" t="s">
        <v>58</v>
      </c>
    </row>
    <row r="82" ht="15.75" customHeight="1">
      <c r="A82" s="14">
        <v>45699.0</v>
      </c>
      <c r="B82" s="8" t="str">
        <f t="shared" si="3"/>
        <v>Feb-25</v>
      </c>
      <c r="C82" s="13">
        <v>80.0</v>
      </c>
      <c r="D82" s="12" t="s">
        <v>14</v>
      </c>
      <c r="E82" s="13">
        <v>231.0</v>
      </c>
      <c r="F82" s="13">
        <v>92.0</v>
      </c>
      <c r="G82" s="8">
        <f t="shared" si="2"/>
        <v>323</v>
      </c>
      <c r="H82" s="13" t="s">
        <v>58</v>
      </c>
    </row>
    <row r="83" ht="15.75" customHeight="1">
      <c r="A83" s="14">
        <v>45699.0</v>
      </c>
      <c r="B83" s="8" t="str">
        <f t="shared" si="3"/>
        <v>Feb-25</v>
      </c>
      <c r="C83" s="13">
        <v>80.0</v>
      </c>
      <c r="D83" s="12" t="s">
        <v>14</v>
      </c>
      <c r="E83" s="13">
        <v>252.0</v>
      </c>
      <c r="F83" s="13">
        <v>27.0</v>
      </c>
      <c r="G83" s="8">
        <f t="shared" si="2"/>
        <v>279</v>
      </c>
      <c r="H83" s="13" t="s">
        <v>58</v>
      </c>
    </row>
    <row r="84" ht="15.75" customHeight="1">
      <c r="A84" s="14">
        <v>45699.0</v>
      </c>
      <c r="B84" s="8" t="str">
        <f t="shared" si="3"/>
        <v>Feb-25</v>
      </c>
      <c r="C84" s="13">
        <v>80.0</v>
      </c>
      <c r="D84" s="12" t="s">
        <v>14</v>
      </c>
      <c r="E84" s="13">
        <v>180.0</v>
      </c>
      <c r="F84" s="13">
        <v>130.0</v>
      </c>
      <c r="G84" s="8">
        <f t="shared" si="2"/>
        <v>310</v>
      </c>
      <c r="H84" s="13" t="s">
        <v>23</v>
      </c>
    </row>
    <row r="85" ht="15.75" customHeight="1">
      <c r="A85" s="14">
        <v>45699.0</v>
      </c>
      <c r="B85" s="8" t="str">
        <f t="shared" si="3"/>
        <v>Feb-25</v>
      </c>
      <c r="C85" s="13">
        <v>80.0</v>
      </c>
      <c r="D85" s="12" t="s">
        <v>14</v>
      </c>
      <c r="E85" s="13">
        <v>146.0</v>
      </c>
      <c r="F85" s="13">
        <v>47.0</v>
      </c>
      <c r="G85" s="8">
        <f t="shared" si="2"/>
        <v>193</v>
      </c>
      <c r="H85" s="13" t="s">
        <v>23</v>
      </c>
    </row>
    <row r="86" ht="15.75" customHeight="1">
      <c r="A86" s="14">
        <v>45700.0</v>
      </c>
      <c r="B86" s="8" t="str">
        <f t="shared" si="3"/>
        <v>Feb-25</v>
      </c>
      <c r="C86" s="13">
        <v>80.0</v>
      </c>
      <c r="D86" s="12" t="s">
        <v>11</v>
      </c>
      <c r="E86" s="13">
        <v>303.0</v>
      </c>
      <c r="F86" s="13">
        <v>50.0</v>
      </c>
      <c r="G86" s="8">
        <f t="shared" si="2"/>
        <v>353</v>
      </c>
      <c r="H86" s="13" t="s">
        <v>23</v>
      </c>
    </row>
    <row r="87" ht="15.75" customHeight="1">
      <c r="A87" s="14">
        <v>45700.0</v>
      </c>
      <c r="B87" s="8" t="str">
        <f t="shared" si="3"/>
        <v>Feb-25</v>
      </c>
      <c r="C87" s="13">
        <v>80.0</v>
      </c>
      <c r="D87" s="12" t="s">
        <v>15</v>
      </c>
      <c r="E87" s="13">
        <v>40.0</v>
      </c>
      <c r="F87" s="13">
        <v>20.0</v>
      </c>
      <c r="G87" s="8">
        <f t="shared" si="2"/>
        <v>60</v>
      </c>
      <c r="H87" s="13" t="s">
        <v>23</v>
      </c>
    </row>
    <row r="88" ht="15.75" customHeight="1">
      <c r="A88" s="14">
        <v>45700.0</v>
      </c>
      <c r="B88" s="8" t="str">
        <f t="shared" si="3"/>
        <v>Feb-25</v>
      </c>
      <c r="C88" s="13">
        <v>80.0</v>
      </c>
      <c r="D88" s="12" t="s">
        <v>11</v>
      </c>
      <c r="E88" s="13">
        <v>463.0</v>
      </c>
      <c r="F88" s="13">
        <v>125.0</v>
      </c>
      <c r="G88" s="8">
        <f t="shared" si="2"/>
        <v>588</v>
      </c>
      <c r="H88" s="13" t="s">
        <v>23</v>
      </c>
    </row>
    <row r="89" ht="15.75" customHeight="1">
      <c r="A89" s="14">
        <v>45701.0</v>
      </c>
      <c r="B89" s="8" t="str">
        <f t="shared" si="3"/>
        <v>Feb-25</v>
      </c>
      <c r="C89" s="13">
        <v>80.0</v>
      </c>
      <c r="D89" s="12" t="s">
        <v>31</v>
      </c>
      <c r="E89" s="13">
        <v>175.0</v>
      </c>
      <c r="F89" s="13">
        <v>78.0</v>
      </c>
      <c r="G89" s="8">
        <f t="shared" si="2"/>
        <v>253</v>
      </c>
      <c r="H89" s="13" t="s">
        <v>23</v>
      </c>
    </row>
    <row r="90" ht="15.75" customHeight="1">
      <c r="A90" s="14">
        <v>45701.0</v>
      </c>
      <c r="B90" s="8" t="str">
        <f t="shared" si="3"/>
        <v>Feb-25</v>
      </c>
      <c r="C90" s="13">
        <v>80.0</v>
      </c>
      <c r="D90" s="12" t="s">
        <v>24</v>
      </c>
      <c r="E90" s="13">
        <v>77.0</v>
      </c>
      <c r="F90" s="13">
        <v>15.0</v>
      </c>
      <c r="G90" s="8">
        <f t="shared" si="2"/>
        <v>92</v>
      </c>
      <c r="H90" s="13" t="s">
        <v>23</v>
      </c>
    </row>
    <row r="91" ht="15.75" customHeight="1">
      <c r="A91" s="14">
        <v>45701.0</v>
      </c>
      <c r="B91" s="8" t="str">
        <f t="shared" si="3"/>
        <v>Feb-25</v>
      </c>
      <c r="C91" s="13">
        <v>80.0</v>
      </c>
      <c r="D91" s="12" t="s">
        <v>15</v>
      </c>
      <c r="E91" s="13">
        <v>85.0</v>
      </c>
      <c r="F91" s="13">
        <v>57.0</v>
      </c>
      <c r="G91" s="8">
        <f t="shared" si="2"/>
        <v>142</v>
      </c>
      <c r="H91" s="13" t="s">
        <v>23</v>
      </c>
    </row>
    <row r="92" ht="15.75" customHeight="1">
      <c r="A92" s="14">
        <v>45705.0</v>
      </c>
      <c r="B92" s="8" t="str">
        <f t="shared" si="3"/>
        <v>Feb-25</v>
      </c>
      <c r="C92" s="13">
        <v>81.0</v>
      </c>
      <c r="D92" s="12" t="s">
        <v>24</v>
      </c>
      <c r="E92" s="13">
        <v>80.0</v>
      </c>
      <c r="F92" s="13">
        <v>18.0</v>
      </c>
      <c r="G92" s="8">
        <f t="shared" si="2"/>
        <v>98</v>
      </c>
      <c r="H92" s="13" t="s">
        <v>46</v>
      </c>
    </row>
    <row r="93" ht="15.75" customHeight="1">
      <c r="A93" s="14">
        <v>45705.0</v>
      </c>
      <c r="B93" s="8" t="str">
        <f t="shared" si="3"/>
        <v>Feb-25</v>
      </c>
      <c r="C93" s="13">
        <v>81.0</v>
      </c>
      <c r="D93" s="12" t="s">
        <v>14</v>
      </c>
      <c r="E93" s="13">
        <v>145.0</v>
      </c>
      <c r="F93" s="13">
        <v>164.0</v>
      </c>
      <c r="G93" s="8">
        <f t="shared" si="2"/>
        <v>309</v>
      </c>
      <c r="H93" s="13" t="s">
        <v>46</v>
      </c>
    </row>
    <row r="94" ht="15.75" customHeight="1">
      <c r="A94" s="14">
        <v>45705.0</v>
      </c>
      <c r="B94" s="8" t="str">
        <f t="shared" si="3"/>
        <v>Feb-25</v>
      </c>
      <c r="C94" s="13">
        <v>81.0</v>
      </c>
      <c r="D94" s="12" t="s">
        <v>14</v>
      </c>
      <c r="E94" s="13">
        <v>160.0</v>
      </c>
      <c r="F94" s="13">
        <v>119.0</v>
      </c>
      <c r="G94" s="8">
        <f t="shared" si="2"/>
        <v>279</v>
      </c>
      <c r="H94" s="13" t="s">
        <v>23</v>
      </c>
    </row>
    <row r="95" ht="15.75" customHeight="1">
      <c r="A95" s="14">
        <v>45705.0</v>
      </c>
      <c r="B95" s="8" t="str">
        <f t="shared" si="3"/>
        <v>Feb-25</v>
      </c>
      <c r="C95" s="13">
        <v>81.0</v>
      </c>
      <c r="D95" s="12" t="s">
        <v>15</v>
      </c>
      <c r="E95" s="13">
        <v>55.0</v>
      </c>
      <c r="F95" s="13">
        <v>15.0</v>
      </c>
      <c r="G95" s="8">
        <f t="shared" si="2"/>
        <v>70</v>
      </c>
      <c r="H95" s="13" t="s">
        <v>22</v>
      </c>
    </row>
    <row r="96" ht="15.75" customHeight="1">
      <c r="A96" s="14">
        <v>45706.0</v>
      </c>
      <c r="B96" s="8" t="str">
        <f t="shared" si="3"/>
        <v>Feb-25</v>
      </c>
      <c r="D96" s="12" t="s">
        <v>15</v>
      </c>
      <c r="E96" s="13">
        <v>155.0</v>
      </c>
      <c r="F96" s="13">
        <v>30.0</v>
      </c>
      <c r="G96" s="8">
        <f t="shared" si="2"/>
        <v>185</v>
      </c>
      <c r="H96" s="13" t="s">
        <v>22</v>
      </c>
    </row>
    <row r="97" ht="15.75" customHeight="1">
      <c r="A97" s="14">
        <v>45706.0</v>
      </c>
      <c r="B97" s="8" t="str">
        <f t="shared" si="3"/>
        <v>Feb-25</v>
      </c>
      <c r="D97" s="12" t="s">
        <v>24</v>
      </c>
      <c r="E97" s="13">
        <v>19.0</v>
      </c>
      <c r="F97" s="13">
        <v>3.0</v>
      </c>
      <c r="G97" s="8">
        <f t="shared" si="2"/>
        <v>22</v>
      </c>
      <c r="H97" s="13" t="s">
        <v>22</v>
      </c>
    </row>
    <row r="98" ht="15.75" customHeight="1">
      <c r="A98" s="14">
        <v>45706.0</v>
      </c>
      <c r="B98" s="8" t="str">
        <f t="shared" si="3"/>
        <v>Feb-25</v>
      </c>
      <c r="D98" s="12" t="s">
        <v>31</v>
      </c>
      <c r="E98" s="13">
        <v>110.0</v>
      </c>
      <c r="F98" s="13">
        <v>33.0</v>
      </c>
      <c r="G98" s="8">
        <f t="shared" si="2"/>
        <v>143</v>
      </c>
      <c r="H98" s="13" t="s">
        <v>22</v>
      </c>
    </row>
    <row r="99" ht="15.75" customHeight="1">
      <c r="A99" s="14">
        <v>45706.0</v>
      </c>
      <c r="B99" s="8" t="str">
        <f t="shared" si="3"/>
        <v>Feb-25</v>
      </c>
      <c r="D99" s="12" t="s">
        <v>11</v>
      </c>
      <c r="E99" s="13">
        <v>280.0</v>
      </c>
      <c r="F99" s="13">
        <v>140.0</v>
      </c>
      <c r="G99" s="8">
        <f t="shared" si="2"/>
        <v>420</v>
      </c>
      <c r="H99" s="13" t="s">
        <v>23</v>
      </c>
    </row>
    <row r="100" ht="15.75" customHeight="1">
      <c r="A100" s="14">
        <v>45707.0</v>
      </c>
      <c r="B100" s="8" t="str">
        <f t="shared" si="3"/>
        <v>Feb-25</v>
      </c>
      <c r="D100" s="12" t="s">
        <v>31</v>
      </c>
      <c r="E100" s="13">
        <v>94.0</v>
      </c>
      <c r="F100" s="13">
        <v>54.0</v>
      </c>
      <c r="G100" s="8">
        <f t="shared" si="2"/>
        <v>148</v>
      </c>
      <c r="H100" s="13" t="s">
        <v>22</v>
      </c>
    </row>
    <row r="101" ht="15.75" customHeight="1">
      <c r="A101" s="14">
        <v>45708.0</v>
      </c>
      <c r="B101" s="8" t="str">
        <f t="shared" si="3"/>
        <v>Feb-25</v>
      </c>
      <c r="D101" s="12" t="s">
        <v>17</v>
      </c>
      <c r="E101" s="13">
        <v>425.0</v>
      </c>
      <c r="F101" s="13">
        <v>106.0</v>
      </c>
      <c r="G101" s="8">
        <f t="shared" si="2"/>
        <v>531</v>
      </c>
      <c r="H101" s="13" t="s">
        <v>65</v>
      </c>
    </row>
    <row r="102" ht="15.75" customHeight="1">
      <c r="A102" s="14">
        <v>45709.0</v>
      </c>
      <c r="B102" s="8" t="str">
        <f t="shared" si="3"/>
        <v>Feb-25</v>
      </c>
      <c r="D102" s="12" t="s">
        <v>11</v>
      </c>
      <c r="E102" s="13">
        <v>102.0</v>
      </c>
      <c r="F102" s="13">
        <v>36.0</v>
      </c>
      <c r="G102" s="8">
        <f t="shared" si="2"/>
        <v>138</v>
      </c>
      <c r="H102" s="13" t="s">
        <v>65</v>
      </c>
    </row>
    <row r="103" ht="15.75" customHeight="1">
      <c r="A103" s="14">
        <v>45713.0</v>
      </c>
      <c r="B103" s="8" t="str">
        <f t="shared" si="3"/>
        <v>Feb-25</v>
      </c>
      <c r="D103" s="12" t="s">
        <v>11</v>
      </c>
      <c r="E103" s="13">
        <v>122.0</v>
      </c>
      <c r="F103" s="13">
        <v>87.0</v>
      </c>
      <c r="G103" s="8">
        <f t="shared" si="2"/>
        <v>209</v>
      </c>
      <c r="H103" s="13" t="s">
        <v>65</v>
      </c>
    </row>
    <row r="104" ht="15.75" customHeight="1">
      <c r="A104" s="14">
        <v>45713.0</v>
      </c>
      <c r="B104" s="8" t="str">
        <f t="shared" si="3"/>
        <v>Feb-25</v>
      </c>
      <c r="D104" s="12" t="s">
        <v>11</v>
      </c>
    </row>
    <row r="105" ht="15.75" customHeight="1"/>
    <row r="106" ht="15.75" customHeight="1">
      <c r="E106" s="15"/>
      <c r="F106" s="15"/>
      <c r="G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6"/>
  <dataValidations>
    <dataValidation type="list" allowBlank="1" showErrorMessage="1" sqref="H2:H103">
      <formula1>'Data Validation'!$C$3:$C$20</formula1>
    </dataValidation>
    <dataValidation type="list" allowBlank="1" showErrorMessage="1" sqref="D2:D104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4.29"/>
    <col customWidth="1" min="3" max="3" width="17.57"/>
    <col customWidth="1" min="4" max="4" width="18.43"/>
    <col customWidth="1" min="5" max="5" width="18.14"/>
    <col customWidth="1" min="6" max="7" width="17.43"/>
    <col customWidth="1" min="8" max="8" width="19.57"/>
    <col customWidth="1" min="9" max="9" width="19.86"/>
    <col customWidth="1" min="10" max="10" width="51.29"/>
    <col customWidth="1" min="11" max="27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66</v>
      </c>
      <c r="F1" s="1" t="s">
        <v>67</v>
      </c>
      <c r="G1" s="2" t="s">
        <v>68</v>
      </c>
      <c r="H1" s="1" t="s">
        <v>69</v>
      </c>
      <c r="I1" s="1" t="s">
        <v>6</v>
      </c>
      <c r="J1" s="13" t="s">
        <v>63</v>
      </c>
    </row>
    <row r="2">
      <c r="A2" s="14">
        <v>45604.0</v>
      </c>
      <c r="B2" s="8" t="str">
        <f t="shared" ref="B2:B264" si="1">TEXT(A2,"mmm-yy")</f>
        <v>Nov-24</v>
      </c>
      <c r="D2" s="12" t="s">
        <v>14</v>
      </c>
      <c r="H2" s="8">
        <f>SUM(E2:G2)</f>
        <v>0</v>
      </c>
      <c r="I2" s="13" t="s">
        <v>46</v>
      </c>
      <c r="J2" s="13" t="s">
        <v>70</v>
      </c>
      <c r="K2" s="15" t="str">
        <f t="shared" ref="K2:K264" si="2">E2/H2</f>
        <v>#DIV/0!</v>
      </c>
    </row>
    <row r="3">
      <c r="A3" s="14">
        <v>45605.0</v>
      </c>
      <c r="B3" s="8" t="str">
        <f t="shared" si="1"/>
        <v>Nov-24</v>
      </c>
      <c r="D3" s="12" t="s">
        <v>15</v>
      </c>
      <c r="I3" s="13" t="s">
        <v>46</v>
      </c>
      <c r="J3" s="13" t="s">
        <v>71</v>
      </c>
      <c r="K3" s="15" t="str">
        <f t="shared" si="2"/>
        <v>#DIV/0!</v>
      </c>
    </row>
    <row r="4">
      <c r="A4" s="14">
        <v>45605.0</v>
      </c>
      <c r="B4" s="8" t="str">
        <f t="shared" si="1"/>
        <v>Nov-24</v>
      </c>
      <c r="D4" s="12" t="s">
        <v>14</v>
      </c>
      <c r="I4" s="13" t="s">
        <v>46</v>
      </c>
      <c r="J4" s="13" t="s">
        <v>72</v>
      </c>
      <c r="K4" s="15" t="str">
        <f t="shared" si="2"/>
        <v>#DIV/0!</v>
      </c>
    </row>
    <row r="5">
      <c r="A5" s="14">
        <v>45605.0</v>
      </c>
      <c r="B5" s="8" t="str">
        <f t="shared" si="1"/>
        <v>Nov-24</v>
      </c>
      <c r="D5" s="12" t="s">
        <v>11</v>
      </c>
      <c r="I5" s="13" t="s">
        <v>46</v>
      </c>
      <c r="J5" s="13" t="s">
        <v>73</v>
      </c>
      <c r="K5" s="15" t="str">
        <f t="shared" si="2"/>
        <v>#DIV/0!</v>
      </c>
    </row>
    <row r="6">
      <c r="A6" s="14">
        <v>45608.0</v>
      </c>
      <c r="B6" s="8" t="str">
        <f t="shared" si="1"/>
        <v>Nov-24</v>
      </c>
      <c r="D6" s="12" t="s">
        <v>17</v>
      </c>
      <c r="E6" s="13">
        <v>120.0</v>
      </c>
      <c r="F6" s="13">
        <v>5.0</v>
      </c>
      <c r="H6" s="8">
        <f t="shared" ref="H6:H40" si="3">SUM(E6:G6)</f>
        <v>125</v>
      </c>
      <c r="I6" s="13" t="s">
        <v>59</v>
      </c>
      <c r="K6" s="15">
        <f t="shared" si="2"/>
        <v>0.96</v>
      </c>
    </row>
    <row r="7">
      <c r="A7" s="14">
        <v>45608.0</v>
      </c>
      <c r="B7" s="8" t="str">
        <f t="shared" si="1"/>
        <v>Nov-24</v>
      </c>
      <c r="D7" s="12" t="s">
        <v>17</v>
      </c>
      <c r="E7" s="13">
        <v>80.0</v>
      </c>
      <c r="F7" s="13">
        <v>4.0</v>
      </c>
      <c r="H7" s="8">
        <f t="shared" si="3"/>
        <v>84</v>
      </c>
      <c r="I7" s="13" t="s">
        <v>22</v>
      </c>
      <c r="K7" s="15">
        <f t="shared" si="2"/>
        <v>0.9523809524</v>
      </c>
    </row>
    <row r="8">
      <c r="A8" s="14">
        <v>45609.0</v>
      </c>
      <c r="B8" s="8" t="str">
        <f t="shared" si="1"/>
        <v>Nov-24</v>
      </c>
      <c r="D8" s="12" t="s">
        <v>17</v>
      </c>
      <c r="E8" s="13">
        <v>170.0</v>
      </c>
      <c r="F8" s="13">
        <v>3.0</v>
      </c>
      <c r="H8" s="8">
        <f t="shared" si="3"/>
        <v>173</v>
      </c>
      <c r="I8" s="13" t="s">
        <v>37</v>
      </c>
      <c r="K8" s="15">
        <f t="shared" si="2"/>
        <v>0.9826589595</v>
      </c>
    </row>
    <row r="9">
      <c r="A9" s="14">
        <v>45609.0</v>
      </c>
      <c r="B9" s="8" t="str">
        <f t="shared" si="1"/>
        <v>Nov-24</v>
      </c>
      <c r="D9" s="12" t="s">
        <v>17</v>
      </c>
      <c r="E9" s="13">
        <v>180.0</v>
      </c>
      <c r="F9" s="13">
        <v>7.0</v>
      </c>
      <c r="H9" s="8">
        <f t="shared" si="3"/>
        <v>187</v>
      </c>
      <c r="I9" s="13" t="s">
        <v>59</v>
      </c>
      <c r="K9" s="15">
        <f t="shared" si="2"/>
        <v>0.9625668449</v>
      </c>
    </row>
    <row r="10">
      <c r="A10" s="14">
        <v>45609.0</v>
      </c>
      <c r="B10" s="8" t="str">
        <f t="shared" si="1"/>
        <v>Nov-24</v>
      </c>
      <c r="D10" s="12" t="s">
        <v>17</v>
      </c>
      <c r="E10" s="13">
        <v>150.0</v>
      </c>
      <c r="F10" s="13">
        <v>2.0</v>
      </c>
      <c r="H10" s="8">
        <f t="shared" si="3"/>
        <v>152</v>
      </c>
      <c r="I10" s="13" t="s">
        <v>22</v>
      </c>
      <c r="K10" s="15">
        <f t="shared" si="2"/>
        <v>0.9868421053</v>
      </c>
    </row>
    <row r="11">
      <c r="A11" s="14">
        <v>45610.0</v>
      </c>
      <c r="B11" s="8" t="str">
        <f t="shared" si="1"/>
        <v>Nov-24</v>
      </c>
      <c r="D11" s="12" t="s">
        <v>17</v>
      </c>
      <c r="E11" s="13">
        <v>90.0</v>
      </c>
      <c r="F11" s="13">
        <v>6.0</v>
      </c>
      <c r="H11" s="8">
        <f t="shared" si="3"/>
        <v>96</v>
      </c>
      <c r="I11" s="13" t="s">
        <v>59</v>
      </c>
      <c r="K11" s="15">
        <f t="shared" si="2"/>
        <v>0.9375</v>
      </c>
    </row>
    <row r="12">
      <c r="A12" s="14">
        <v>45610.0</v>
      </c>
      <c r="B12" s="8" t="str">
        <f t="shared" si="1"/>
        <v>Nov-24</v>
      </c>
      <c r="D12" s="12" t="s">
        <v>17</v>
      </c>
      <c r="E12" s="13">
        <v>50.0</v>
      </c>
      <c r="F12" s="13">
        <v>0.0</v>
      </c>
      <c r="H12" s="8">
        <f t="shared" si="3"/>
        <v>50</v>
      </c>
      <c r="I12" s="13" t="s">
        <v>37</v>
      </c>
      <c r="K12" s="15">
        <f t="shared" si="2"/>
        <v>1</v>
      </c>
    </row>
    <row r="13">
      <c r="A13" s="14">
        <v>45610.0</v>
      </c>
      <c r="B13" s="8" t="str">
        <f t="shared" si="1"/>
        <v>Nov-24</v>
      </c>
      <c r="D13" s="12" t="s">
        <v>17</v>
      </c>
      <c r="E13" s="13">
        <v>10.0</v>
      </c>
      <c r="H13" s="8">
        <f t="shared" si="3"/>
        <v>10</v>
      </c>
      <c r="I13" s="13" t="s">
        <v>23</v>
      </c>
      <c r="K13" s="15">
        <f t="shared" si="2"/>
        <v>1</v>
      </c>
    </row>
    <row r="14">
      <c r="A14" s="14">
        <v>45611.0</v>
      </c>
      <c r="B14" s="8" t="str">
        <f t="shared" si="1"/>
        <v>Nov-24</v>
      </c>
      <c r="D14" s="12" t="s">
        <v>17</v>
      </c>
      <c r="E14" s="13">
        <v>180.0</v>
      </c>
      <c r="F14" s="13">
        <v>9.0</v>
      </c>
      <c r="H14" s="8">
        <f t="shared" si="3"/>
        <v>189</v>
      </c>
      <c r="I14" s="13" t="s">
        <v>59</v>
      </c>
      <c r="K14" s="15">
        <f t="shared" si="2"/>
        <v>0.9523809524</v>
      </c>
    </row>
    <row r="15">
      <c r="A15" s="14">
        <v>45611.0</v>
      </c>
      <c r="B15" s="8" t="str">
        <f t="shared" si="1"/>
        <v>Nov-24</v>
      </c>
      <c r="D15" s="12" t="s">
        <v>17</v>
      </c>
      <c r="E15" s="13">
        <v>170.0</v>
      </c>
      <c r="F15" s="13">
        <v>7.0</v>
      </c>
      <c r="H15" s="8">
        <f t="shared" si="3"/>
        <v>177</v>
      </c>
      <c r="I15" s="13" t="s">
        <v>37</v>
      </c>
      <c r="K15" s="15">
        <f t="shared" si="2"/>
        <v>0.9604519774</v>
      </c>
    </row>
    <row r="16">
      <c r="A16" s="14">
        <v>45611.0</v>
      </c>
      <c r="B16" s="8" t="str">
        <f t="shared" si="1"/>
        <v>Nov-24</v>
      </c>
      <c r="D16" s="12" t="s">
        <v>17</v>
      </c>
      <c r="E16" s="13">
        <v>170.0</v>
      </c>
      <c r="F16" s="13">
        <v>8.0</v>
      </c>
      <c r="H16" s="8">
        <f t="shared" si="3"/>
        <v>178</v>
      </c>
      <c r="I16" s="13" t="s">
        <v>46</v>
      </c>
      <c r="K16" s="15">
        <f t="shared" si="2"/>
        <v>0.9550561798</v>
      </c>
    </row>
    <row r="17">
      <c r="A17" s="14">
        <v>45611.0</v>
      </c>
      <c r="B17" s="8" t="str">
        <f t="shared" si="1"/>
        <v>Nov-24</v>
      </c>
      <c r="D17" s="12" t="s">
        <v>17</v>
      </c>
      <c r="E17" s="13">
        <v>50.0</v>
      </c>
      <c r="F17" s="13">
        <v>5.0</v>
      </c>
      <c r="H17" s="8">
        <f t="shared" si="3"/>
        <v>55</v>
      </c>
      <c r="I17" s="13" t="s">
        <v>23</v>
      </c>
      <c r="K17" s="15">
        <f t="shared" si="2"/>
        <v>0.9090909091</v>
      </c>
    </row>
    <row r="18">
      <c r="A18" s="14">
        <v>45611.0</v>
      </c>
      <c r="B18" s="8" t="str">
        <f t="shared" si="1"/>
        <v>Nov-24</v>
      </c>
      <c r="D18" s="12" t="s">
        <v>17</v>
      </c>
      <c r="E18" s="13">
        <v>175.0</v>
      </c>
      <c r="F18" s="13">
        <v>5.0</v>
      </c>
      <c r="H18" s="8">
        <f t="shared" si="3"/>
        <v>180</v>
      </c>
      <c r="I18" s="13" t="s">
        <v>22</v>
      </c>
      <c r="K18" s="15">
        <f t="shared" si="2"/>
        <v>0.9722222222</v>
      </c>
    </row>
    <row r="19">
      <c r="A19" s="14">
        <v>45612.0</v>
      </c>
      <c r="B19" s="8" t="str">
        <f t="shared" si="1"/>
        <v>Nov-24</v>
      </c>
      <c r="D19" s="12" t="s">
        <v>17</v>
      </c>
      <c r="E19" s="13">
        <v>100.0</v>
      </c>
      <c r="F19" s="13">
        <v>6.0</v>
      </c>
      <c r="H19" s="8">
        <f t="shared" si="3"/>
        <v>106</v>
      </c>
      <c r="I19" s="13" t="s">
        <v>59</v>
      </c>
      <c r="K19" s="15">
        <f t="shared" si="2"/>
        <v>0.9433962264</v>
      </c>
    </row>
    <row r="20">
      <c r="A20" s="14">
        <v>45612.0</v>
      </c>
      <c r="B20" s="8" t="str">
        <f t="shared" si="1"/>
        <v>Nov-24</v>
      </c>
      <c r="D20" s="12" t="s">
        <v>14</v>
      </c>
      <c r="E20" s="13">
        <v>25.0</v>
      </c>
      <c r="F20" s="13">
        <v>2.0</v>
      </c>
      <c r="H20" s="8">
        <f t="shared" si="3"/>
        <v>27</v>
      </c>
      <c r="I20" s="13" t="s">
        <v>59</v>
      </c>
      <c r="K20" s="15">
        <f t="shared" si="2"/>
        <v>0.9259259259</v>
      </c>
    </row>
    <row r="21" ht="15.75" customHeight="1">
      <c r="A21" s="14">
        <v>45612.0</v>
      </c>
      <c r="B21" s="8" t="str">
        <f t="shared" si="1"/>
        <v>Nov-24</v>
      </c>
      <c r="D21" s="12" t="s">
        <v>17</v>
      </c>
      <c r="E21" s="13">
        <v>75.0</v>
      </c>
      <c r="F21" s="13">
        <v>5.0</v>
      </c>
      <c r="H21" s="8">
        <f t="shared" si="3"/>
        <v>80</v>
      </c>
      <c r="I21" s="13" t="s">
        <v>23</v>
      </c>
      <c r="K21" s="15">
        <f t="shared" si="2"/>
        <v>0.9375</v>
      </c>
    </row>
    <row r="22" ht="15.75" customHeight="1">
      <c r="A22" s="14">
        <v>45612.0</v>
      </c>
      <c r="B22" s="8" t="str">
        <f t="shared" si="1"/>
        <v>Nov-24</v>
      </c>
      <c r="D22" s="12" t="s">
        <v>17</v>
      </c>
      <c r="E22" s="13">
        <v>90.0</v>
      </c>
      <c r="F22" s="13">
        <v>3.0</v>
      </c>
      <c r="H22" s="8">
        <f t="shared" si="3"/>
        <v>93</v>
      </c>
      <c r="I22" s="13" t="s">
        <v>37</v>
      </c>
      <c r="K22" s="15">
        <f t="shared" si="2"/>
        <v>0.9677419355</v>
      </c>
    </row>
    <row r="23" ht="15.75" customHeight="1">
      <c r="A23" s="14">
        <v>45612.0</v>
      </c>
      <c r="B23" s="8" t="str">
        <f t="shared" si="1"/>
        <v>Nov-24</v>
      </c>
      <c r="D23" s="12" t="s">
        <v>14</v>
      </c>
      <c r="E23" s="13">
        <v>40.0</v>
      </c>
      <c r="F23" s="13">
        <v>2.0</v>
      </c>
      <c r="H23" s="8">
        <f t="shared" si="3"/>
        <v>42</v>
      </c>
      <c r="I23" s="13" t="s">
        <v>37</v>
      </c>
      <c r="K23" s="15">
        <f t="shared" si="2"/>
        <v>0.9523809524</v>
      </c>
    </row>
    <row r="24" ht="15.75" customHeight="1">
      <c r="A24" s="14">
        <v>45612.0</v>
      </c>
      <c r="B24" s="8" t="str">
        <f t="shared" si="1"/>
        <v>Nov-24</v>
      </c>
      <c r="D24" s="12" t="s">
        <v>11</v>
      </c>
      <c r="E24" s="13">
        <v>140.0</v>
      </c>
      <c r="F24" s="13">
        <v>4.0</v>
      </c>
      <c r="H24" s="8">
        <f t="shared" si="3"/>
        <v>144</v>
      </c>
      <c r="I24" s="13" t="s">
        <v>58</v>
      </c>
      <c r="K24" s="15">
        <f t="shared" si="2"/>
        <v>0.9722222222</v>
      </c>
    </row>
    <row r="25" ht="15.75" customHeight="1">
      <c r="A25" s="14">
        <v>45612.0</v>
      </c>
      <c r="B25" s="8" t="str">
        <f t="shared" si="1"/>
        <v>Nov-24</v>
      </c>
      <c r="D25" s="12" t="s">
        <v>17</v>
      </c>
      <c r="E25" s="13">
        <v>48.0</v>
      </c>
      <c r="H25" s="8">
        <f t="shared" si="3"/>
        <v>48</v>
      </c>
      <c r="I25" s="13" t="s">
        <v>46</v>
      </c>
      <c r="K25" s="15">
        <f t="shared" si="2"/>
        <v>1</v>
      </c>
    </row>
    <row r="26" ht="15.75" customHeight="1">
      <c r="A26" s="14">
        <v>45612.0</v>
      </c>
      <c r="B26" s="8" t="str">
        <f t="shared" si="1"/>
        <v>Nov-24</v>
      </c>
      <c r="D26" s="12" t="s">
        <v>28</v>
      </c>
      <c r="H26" s="8">
        <f t="shared" si="3"/>
        <v>0</v>
      </c>
      <c r="I26" s="13" t="s">
        <v>46</v>
      </c>
      <c r="J26" s="13" t="s">
        <v>74</v>
      </c>
      <c r="K26" s="15" t="str">
        <f t="shared" si="2"/>
        <v>#DIV/0!</v>
      </c>
    </row>
    <row r="27" ht="15.75" customHeight="1">
      <c r="A27" s="14">
        <v>45612.0</v>
      </c>
      <c r="B27" s="8" t="str">
        <f t="shared" si="1"/>
        <v>Nov-24</v>
      </c>
      <c r="D27" s="12" t="s">
        <v>11</v>
      </c>
      <c r="H27" s="8">
        <f t="shared" si="3"/>
        <v>0</v>
      </c>
      <c r="I27" s="13" t="s">
        <v>46</v>
      </c>
      <c r="J27" s="13" t="s">
        <v>75</v>
      </c>
      <c r="K27" s="15" t="str">
        <f t="shared" si="2"/>
        <v>#DIV/0!</v>
      </c>
    </row>
    <row r="28" ht="15.75" customHeight="1">
      <c r="A28" s="14">
        <v>45612.0</v>
      </c>
      <c r="B28" s="8" t="str">
        <f t="shared" si="1"/>
        <v>Nov-24</v>
      </c>
      <c r="D28" s="12" t="s">
        <v>24</v>
      </c>
      <c r="H28" s="8">
        <f t="shared" si="3"/>
        <v>0</v>
      </c>
      <c r="I28" s="13" t="s">
        <v>46</v>
      </c>
      <c r="J28" s="13" t="s">
        <v>76</v>
      </c>
      <c r="K28" s="15" t="str">
        <f t="shared" si="2"/>
        <v>#DIV/0!</v>
      </c>
    </row>
    <row r="29" ht="15.75" customHeight="1">
      <c r="A29" s="14">
        <v>45612.0</v>
      </c>
      <c r="B29" s="8" t="str">
        <f t="shared" si="1"/>
        <v>Nov-24</v>
      </c>
      <c r="D29" s="12" t="s">
        <v>17</v>
      </c>
      <c r="H29" s="8">
        <f t="shared" si="3"/>
        <v>0</v>
      </c>
      <c r="I29" s="13" t="s">
        <v>46</v>
      </c>
      <c r="J29" s="13" t="s">
        <v>77</v>
      </c>
      <c r="K29" s="15" t="str">
        <f t="shared" si="2"/>
        <v>#DIV/0!</v>
      </c>
    </row>
    <row r="30" ht="15.75" customHeight="1">
      <c r="A30" s="14">
        <v>45612.0</v>
      </c>
      <c r="B30" s="8" t="str">
        <f t="shared" si="1"/>
        <v>Nov-24</v>
      </c>
      <c r="D30" s="12" t="s">
        <v>17</v>
      </c>
      <c r="E30" s="13">
        <v>85.0</v>
      </c>
      <c r="F30" s="13">
        <v>2.0</v>
      </c>
      <c r="H30" s="8">
        <f t="shared" si="3"/>
        <v>87</v>
      </c>
      <c r="I30" s="13" t="s">
        <v>22</v>
      </c>
      <c r="K30" s="15">
        <f t="shared" si="2"/>
        <v>0.9770114943</v>
      </c>
    </row>
    <row r="31" ht="15.75" customHeight="1">
      <c r="A31" s="14">
        <v>45612.0</v>
      </c>
      <c r="B31" s="8" t="str">
        <f t="shared" si="1"/>
        <v>Nov-24</v>
      </c>
      <c r="D31" s="12" t="s">
        <v>28</v>
      </c>
      <c r="E31" s="13">
        <v>30.0</v>
      </c>
      <c r="F31" s="13">
        <v>1.0</v>
      </c>
      <c r="H31" s="8">
        <f t="shared" si="3"/>
        <v>31</v>
      </c>
      <c r="I31" s="13" t="s">
        <v>22</v>
      </c>
      <c r="K31" s="15">
        <f t="shared" si="2"/>
        <v>0.9677419355</v>
      </c>
    </row>
    <row r="32" ht="15.75" customHeight="1">
      <c r="A32" s="14">
        <v>45614.0</v>
      </c>
      <c r="B32" s="8" t="str">
        <f t="shared" si="1"/>
        <v>Nov-24</v>
      </c>
      <c r="D32" s="12" t="s">
        <v>14</v>
      </c>
      <c r="E32" s="13">
        <v>75.0</v>
      </c>
      <c r="F32" s="13">
        <v>6.0</v>
      </c>
      <c r="H32" s="8">
        <f t="shared" si="3"/>
        <v>81</v>
      </c>
      <c r="I32" s="13" t="s">
        <v>59</v>
      </c>
      <c r="K32" s="15">
        <f t="shared" si="2"/>
        <v>0.9259259259</v>
      </c>
    </row>
    <row r="33" ht="15.75" customHeight="1">
      <c r="A33" s="14">
        <v>45614.0</v>
      </c>
      <c r="B33" s="8" t="str">
        <f t="shared" si="1"/>
        <v>Nov-24</v>
      </c>
      <c r="D33" s="12" t="s">
        <v>14</v>
      </c>
      <c r="E33" s="13">
        <v>75.0</v>
      </c>
      <c r="F33" s="13">
        <v>6.0</v>
      </c>
      <c r="H33" s="8">
        <f t="shared" si="3"/>
        <v>81</v>
      </c>
      <c r="I33" s="13" t="s">
        <v>37</v>
      </c>
      <c r="K33" s="15">
        <f t="shared" si="2"/>
        <v>0.9259259259</v>
      </c>
    </row>
    <row r="34" ht="15.75" customHeight="1">
      <c r="A34" s="14">
        <v>45614.0</v>
      </c>
      <c r="B34" s="8" t="str">
        <f t="shared" si="1"/>
        <v>Nov-24</v>
      </c>
      <c r="D34" s="12" t="s">
        <v>17</v>
      </c>
      <c r="E34" s="13">
        <v>30.0</v>
      </c>
      <c r="H34" s="8">
        <f t="shared" si="3"/>
        <v>30</v>
      </c>
      <c r="I34" s="13" t="s">
        <v>23</v>
      </c>
      <c r="J34" s="13" t="s">
        <v>78</v>
      </c>
      <c r="K34" s="15">
        <f t="shared" si="2"/>
        <v>1</v>
      </c>
    </row>
    <row r="35" ht="15.75" customHeight="1">
      <c r="A35" s="14">
        <v>45615.0</v>
      </c>
      <c r="B35" s="8" t="str">
        <f t="shared" si="1"/>
        <v>Nov-24</v>
      </c>
      <c r="D35" s="12" t="s">
        <v>14</v>
      </c>
      <c r="E35" s="13">
        <v>80.0</v>
      </c>
      <c r="F35" s="13">
        <v>9.0</v>
      </c>
      <c r="H35" s="8">
        <f t="shared" si="3"/>
        <v>89</v>
      </c>
      <c r="I35" s="13" t="s">
        <v>59</v>
      </c>
      <c r="K35" s="15">
        <f t="shared" si="2"/>
        <v>0.8988764045</v>
      </c>
    </row>
    <row r="36" ht="15.75" customHeight="1">
      <c r="A36" s="14">
        <v>45615.0</v>
      </c>
      <c r="B36" s="8" t="str">
        <f t="shared" si="1"/>
        <v>Nov-24</v>
      </c>
      <c r="D36" s="12" t="s">
        <v>14</v>
      </c>
      <c r="E36" s="13">
        <v>75.0</v>
      </c>
      <c r="F36" s="13">
        <v>7.0</v>
      </c>
      <c r="H36" s="8">
        <f t="shared" si="3"/>
        <v>82</v>
      </c>
      <c r="I36" s="13" t="s">
        <v>37</v>
      </c>
      <c r="K36" s="15">
        <f t="shared" si="2"/>
        <v>0.9146341463</v>
      </c>
    </row>
    <row r="37" ht="15.75" customHeight="1">
      <c r="A37" s="14">
        <v>45615.0</v>
      </c>
      <c r="B37" s="8" t="str">
        <f t="shared" si="1"/>
        <v>Nov-24</v>
      </c>
      <c r="D37" s="12" t="s">
        <v>11</v>
      </c>
      <c r="E37" s="13">
        <v>150.0</v>
      </c>
      <c r="F37" s="13">
        <v>8.0</v>
      </c>
      <c r="H37" s="8">
        <f t="shared" si="3"/>
        <v>158</v>
      </c>
      <c r="I37" s="13" t="s">
        <v>12</v>
      </c>
      <c r="J37" s="13" t="s">
        <v>79</v>
      </c>
      <c r="K37" s="15">
        <f t="shared" si="2"/>
        <v>0.9493670886</v>
      </c>
    </row>
    <row r="38" ht="15.75" customHeight="1">
      <c r="A38" s="14">
        <v>45615.0</v>
      </c>
      <c r="B38" s="8" t="str">
        <f t="shared" si="1"/>
        <v>Nov-24</v>
      </c>
      <c r="D38" s="12" t="s">
        <v>11</v>
      </c>
      <c r="E38" s="13">
        <v>30.0</v>
      </c>
      <c r="H38" s="8">
        <f t="shared" si="3"/>
        <v>30</v>
      </c>
      <c r="I38" s="13" t="s">
        <v>23</v>
      </c>
      <c r="J38" s="13" t="s">
        <v>79</v>
      </c>
      <c r="K38" s="15">
        <f t="shared" si="2"/>
        <v>1</v>
      </c>
    </row>
    <row r="39" ht="15.75" customHeight="1">
      <c r="A39" s="14">
        <v>45615.0</v>
      </c>
      <c r="B39" s="8" t="str">
        <f t="shared" si="1"/>
        <v>Nov-24</v>
      </c>
      <c r="D39" s="12" t="s">
        <v>14</v>
      </c>
      <c r="E39" s="13">
        <v>75.0</v>
      </c>
      <c r="F39" s="13">
        <v>2.0</v>
      </c>
      <c r="H39" s="8">
        <f t="shared" si="3"/>
        <v>77</v>
      </c>
      <c r="I39" s="13" t="s">
        <v>22</v>
      </c>
      <c r="K39" s="15">
        <f t="shared" si="2"/>
        <v>0.974025974</v>
      </c>
    </row>
    <row r="40" ht="15.75" customHeight="1">
      <c r="A40" s="14">
        <v>45615.0</v>
      </c>
      <c r="B40" s="8" t="str">
        <f t="shared" si="1"/>
        <v>Nov-24</v>
      </c>
      <c r="D40" s="12" t="s">
        <v>14</v>
      </c>
      <c r="E40" s="13">
        <v>75.0</v>
      </c>
      <c r="F40" s="13">
        <v>8.0</v>
      </c>
      <c r="H40" s="8">
        <f t="shared" si="3"/>
        <v>83</v>
      </c>
      <c r="I40" s="13" t="s">
        <v>46</v>
      </c>
      <c r="J40" s="13" t="s">
        <v>79</v>
      </c>
      <c r="K40" s="15">
        <f t="shared" si="2"/>
        <v>0.9036144578</v>
      </c>
    </row>
    <row r="41" ht="15.75" customHeight="1">
      <c r="A41" s="14">
        <v>45618.0</v>
      </c>
      <c r="B41" s="8" t="str">
        <f t="shared" si="1"/>
        <v>Nov-24</v>
      </c>
      <c r="D41" s="12"/>
      <c r="I41" s="13" t="s">
        <v>37</v>
      </c>
      <c r="J41" s="13" t="s">
        <v>80</v>
      </c>
      <c r="K41" s="15" t="str">
        <f t="shared" si="2"/>
        <v>#DIV/0!</v>
      </c>
    </row>
    <row r="42" ht="15.75" customHeight="1">
      <c r="A42" s="14">
        <v>45619.0</v>
      </c>
      <c r="B42" s="8" t="str">
        <f t="shared" si="1"/>
        <v>Nov-24</v>
      </c>
      <c r="D42" s="12"/>
      <c r="I42" s="13" t="s">
        <v>37</v>
      </c>
      <c r="J42" s="13" t="s">
        <v>81</v>
      </c>
      <c r="K42" s="15" t="str">
        <f t="shared" si="2"/>
        <v>#DIV/0!</v>
      </c>
    </row>
    <row r="43" ht="15.75" customHeight="1">
      <c r="A43" s="14">
        <v>45619.0</v>
      </c>
      <c r="B43" s="8" t="str">
        <f t="shared" si="1"/>
        <v>Nov-24</v>
      </c>
      <c r="D43" s="12" t="s">
        <v>14</v>
      </c>
      <c r="I43" s="13" t="s">
        <v>53</v>
      </c>
      <c r="J43" s="13" t="s">
        <v>82</v>
      </c>
      <c r="K43" s="15" t="str">
        <f t="shared" si="2"/>
        <v>#DIV/0!</v>
      </c>
    </row>
    <row r="44" ht="15.75" customHeight="1">
      <c r="A44" s="14">
        <v>45619.0</v>
      </c>
      <c r="B44" s="8" t="str">
        <f t="shared" si="1"/>
        <v>Nov-24</v>
      </c>
      <c r="D44" s="12" t="s">
        <v>11</v>
      </c>
      <c r="I44" s="13" t="s">
        <v>53</v>
      </c>
      <c r="J44" s="13" t="s">
        <v>83</v>
      </c>
      <c r="K44" s="15" t="str">
        <f t="shared" si="2"/>
        <v>#DIV/0!</v>
      </c>
    </row>
    <row r="45" ht="15.75" customHeight="1">
      <c r="A45" s="14">
        <v>45619.0</v>
      </c>
      <c r="B45" s="8" t="str">
        <f t="shared" si="1"/>
        <v>Nov-24</v>
      </c>
      <c r="D45" s="12" t="s">
        <v>14</v>
      </c>
      <c r="E45" s="13">
        <v>75.0</v>
      </c>
      <c r="F45" s="13">
        <v>6.0</v>
      </c>
      <c r="H45" s="13">
        <v>81.0</v>
      </c>
      <c r="I45" s="13" t="s">
        <v>59</v>
      </c>
      <c r="K45" s="15">
        <f t="shared" si="2"/>
        <v>0.9259259259</v>
      </c>
    </row>
    <row r="46" ht="15.75" customHeight="1">
      <c r="A46" s="14">
        <v>45619.0</v>
      </c>
      <c r="B46" s="8" t="str">
        <f t="shared" si="1"/>
        <v>Nov-24</v>
      </c>
      <c r="D46" s="12" t="s">
        <v>11</v>
      </c>
      <c r="E46" s="13">
        <v>25.0</v>
      </c>
      <c r="F46" s="13">
        <v>52.0</v>
      </c>
      <c r="H46" s="13">
        <v>77.0</v>
      </c>
      <c r="I46" s="13" t="s">
        <v>23</v>
      </c>
      <c r="J46" s="13" t="s">
        <v>84</v>
      </c>
      <c r="K46" s="15">
        <f t="shared" si="2"/>
        <v>0.3246753247</v>
      </c>
    </row>
    <row r="47" ht="15.75" customHeight="1">
      <c r="A47" s="14">
        <v>45619.0</v>
      </c>
      <c r="B47" s="8" t="str">
        <f t="shared" si="1"/>
        <v>Nov-24</v>
      </c>
      <c r="D47" s="12" t="s">
        <v>11</v>
      </c>
      <c r="E47" s="13">
        <v>110.0</v>
      </c>
      <c r="F47" s="13">
        <v>11.0</v>
      </c>
      <c r="H47" s="8">
        <f t="shared" ref="H47:H48" si="4">SUM(E47:G47)</f>
        <v>121</v>
      </c>
      <c r="I47" s="13" t="s">
        <v>58</v>
      </c>
      <c r="J47" s="13" t="s">
        <v>84</v>
      </c>
      <c r="K47" s="15">
        <f t="shared" si="2"/>
        <v>0.9090909091</v>
      </c>
    </row>
    <row r="48" ht="15.75" customHeight="1">
      <c r="A48" s="14">
        <v>45619.0</v>
      </c>
      <c r="B48" s="8" t="str">
        <f t="shared" si="1"/>
        <v>Nov-24</v>
      </c>
      <c r="D48" s="12" t="s">
        <v>14</v>
      </c>
      <c r="E48" s="13">
        <v>40.0</v>
      </c>
      <c r="F48" s="13">
        <v>5.0</v>
      </c>
      <c r="H48" s="8">
        <f t="shared" si="4"/>
        <v>45</v>
      </c>
      <c r="I48" s="13" t="s">
        <v>58</v>
      </c>
      <c r="J48" s="13" t="s">
        <v>84</v>
      </c>
      <c r="K48" s="15">
        <f t="shared" si="2"/>
        <v>0.8888888889</v>
      </c>
    </row>
    <row r="49" ht="15.75" customHeight="1">
      <c r="A49" s="14">
        <v>45621.0</v>
      </c>
      <c r="B49" s="8" t="str">
        <f t="shared" si="1"/>
        <v>Nov-24</v>
      </c>
      <c r="D49" s="12"/>
      <c r="I49" s="13" t="s">
        <v>37</v>
      </c>
      <c r="J49" s="13" t="s">
        <v>85</v>
      </c>
      <c r="K49" s="15" t="str">
        <f t="shared" si="2"/>
        <v>#DIV/0!</v>
      </c>
    </row>
    <row r="50" ht="15.75" customHeight="1">
      <c r="A50" s="14">
        <v>45621.0</v>
      </c>
      <c r="B50" s="8" t="str">
        <f t="shared" si="1"/>
        <v>Nov-24</v>
      </c>
      <c r="D50" s="12" t="s">
        <v>14</v>
      </c>
      <c r="E50" s="13">
        <v>74.0</v>
      </c>
      <c r="F50" s="13">
        <v>8.0</v>
      </c>
      <c r="H50" s="13">
        <v>82.0</v>
      </c>
      <c r="I50" s="13" t="s">
        <v>46</v>
      </c>
      <c r="J50" s="13" t="s">
        <v>84</v>
      </c>
      <c r="K50" s="15">
        <f t="shared" si="2"/>
        <v>0.9024390244</v>
      </c>
    </row>
    <row r="51" ht="15.75" customHeight="1">
      <c r="A51" s="14">
        <v>45621.0</v>
      </c>
      <c r="B51" s="8" t="str">
        <f t="shared" si="1"/>
        <v>Nov-24</v>
      </c>
      <c r="D51" s="12" t="s">
        <v>14</v>
      </c>
      <c r="E51" s="13">
        <v>90.0</v>
      </c>
      <c r="F51" s="13">
        <v>20.0</v>
      </c>
      <c r="H51" s="8">
        <f>SUM(E51:G51)</f>
        <v>110</v>
      </c>
      <c r="I51" s="13" t="s">
        <v>58</v>
      </c>
      <c r="J51" s="13" t="s">
        <v>84</v>
      </c>
      <c r="K51" s="15">
        <f t="shared" si="2"/>
        <v>0.8181818182</v>
      </c>
    </row>
    <row r="52" ht="15.75" customHeight="1">
      <c r="A52" s="14">
        <v>45621.0</v>
      </c>
      <c r="B52" s="8" t="str">
        <f t="shared" si="1"/>
        <v>Nov-24</v>
      </c>
      <c r="D52" s="12" t="s">
        <v>14</v>
      </c>
      <c r="E52" s="13">
        <v>70.0</v>
      </c>
      <c r="F52" s="13">
        <v>2.0</v>
      </c>
      <c r="H52" s="13">
        <v>72.0</v>
      </c>
      <c r="I52" s="13" t="s">
        <v>22</v>
      </c>
      <c r="J52" s="13" t="s">
        <v>84</v>
      </c>
      <c r="K52" s="15">
        <f t="shared" si="2"/>
        <v>0.9722222222</v>
      </c>
    </row>
    <row r="53" ht="15.75" customHeight="1">
      <c r="A53" s="14">
        <v>45621.0</v>
      </c>
      <c r="B53" s="8" t="str">
        <f t="shared" si="1"/>
        <v>Nov-24</v>
      </c>
      <c r="D53" s="12" t="s">
        <v>14</v>
      </c>
      <c r="E53" s="13">
        <v>35.0</v>
      </c>
      <c r="F53" s="13">
        <v>10.0</v>
      </c>
      <c r="H53" s="13">
        <v>45.0</v>
      </c>
      <c r="I53" s="13" t="s">
        <v>23</v>
      </c>
      <c r="J53" s="13" t="s">
        <v>84</v>
      </c>
      <c r="K53" s="15">
        <f t="shared" si="2"/>
        <v>0.7777777778</v>
      </c>
    </row>
    <row r="54" ht="15.75" customHeight="1">
      <c r="A54" s="14">
        <v>45622.0</v>
      </c>
      <c r="B54" s="8" t="str">
        <f t="shared" si="1"/>
        <v>Nov-24</v>
      </c>
      <c r="D54" s="12"/>
      <c r="I54" s="13" t="s">
        <v>37</v>
      </c>
      <c r="J54" s="13" t="s">
        <v>86</v>
      </c>
      <c r="K54" s="15" t="str">
        <f t="shared" si="2"/>
        <v>#DIV/0!</v>
      </c>
    </row>
    <row r="55" ht="15.75" customHeight="1">
      <c r="A55" s="14">
        <v>45622.0</v>
      </c>
      <c r="B55" s="8" t="str">
        <f t="shared" si="1"/>
        <v>Nov-24</v>
      </c>
      <c r="D55" s="12" t="s">
        <v>14</v>
      </c>
      <c r="E55" s="13">
        <v>70.0</v>
      </c>
      <c r="F55" s="13">
        <v>9.0</v>
      </c>
      <c r="H55" s="13">
        <v>79.0</v>
      </c>
      <c r="I55" s="13" t="s">
        <v>46</v>
      </c>
      <c r="J55" s="13" t="s">
        <v>84</v>
      </c>
      <c r="K55" s="15">
        <f t="shared" si="2"/>
        <v>0.8860759494</v>
      </c>
    </row>
    <row r="56" ht="15.75" customHeight="1">
      <c r="A56" s="14">
        <v>45622.0</v>
      </c>
      <c r="B56" s="8" t="str">
        <f t="shared" si="1"/>
        <v>Nov-24</v>
      </c>
      <c r="D56" s="12" t="s">
        <v>14</v>
      </c>
      <c r="E56" s="13">
        <v>80.0</v>
      </c>
      <c r="F56" s="13">
        <v>10.0</v>
      </c>
      <c r="H56" s="8">
        <f t="shared" ref="H56:H264" si="5">SUM(E56:G56)</f>
        <v>90</v>
      </c>
      <c r="I56" s="13" t="s">
        <v>58</v>
      </c>
      <c r="J56" s="13" t="s">
        <v>84</v>
      </c>
      <c r="K56" s="15">
        <f t="shared" si="2"/>
        <v>0.8888888889</v>
      </c>
    </row>
    <row r="57" ht="15.75" customHeight="1">
      <c r="A57" s="14">
        <v>45622.0</v>
      </c>
      <c r="B57" s="8" t="str">
        <f t="shared" si="1"/>
        <v>Nov-24</v>
      </c>
      <c r="D57" s="12" t="s">
        <v>14</v>
      </c>
      <c r="E57" s="13">
        <v>30.0</v>
      </c>
      <c r="F57" s="13">
        <v>15.0</v>
      </c>
      <c r="H57" s="13">
        <f t="shared" si="5"/>
        <v>45</v>
      </c>
      <c r="I57" s="13" t="s">
        <v>23</v>
      </c>
      <c r="J57" s="13" t="s">
        <v>84</v>
      </c>
      <c r="K57" s="15">
        <f t="shared" si="2"/>
        <v>0.6666666667</v>
      </c>
    </row>
    <row r="58" ht="15.75" customHeight="1">
      <c r="A58" s="14">
        <v>45622.0</v>
      </c>
      <c r="B58" s="8" t="str">
        <f t="shared" si="1"/>
        <v>Nov-24</v>
      </c>
      <c r="D58" s="12" t="s">
        <v>14</v>
      </c>
      <c r="E58" s="13">
        <v>72.0</v>
      </c>
      <c r="F58" s="13">
        <v>3.0</v>
      </c>
      <c r="H58" s="13">
        <f t="shared" si="5"/>
        <v>75</v>
      </c>
      <c r="I58" s="13" t="s">
        <v>22</v>
      </c>
      <c r="J58" s="13" t="s">
        <v>84</v>
      </c>
      <c r="K58" s="15">
        <f t="shared" si="2"/>
        <v>0.96</v>
      </c>
    </row>
    <row r="59" ht="15.75" customHeight="1">
      <c r="A59" s="14">
        <v>45623.0</v>
      </c>
      <c r="B59" s="8" t="str">
        <f t="shared" si="1"/>
        <v>Nov-24</v>
      </c>
      <c r="D59" s="12" t="s">
        <v>17</v>
      </c>
      <c r="E59" s="13">
        <v>95.0</v>
      </c>
      <c r="F59" s="13">
        <v>2.0</v>
      </c>
      <c r="H59" s="13">
        <f t="shared" si="5"/>
        <v>97</v>
      </c>
      <c r="I59" s="13" t="s">
        <v>59</v>
      </c>
      <c r="K59" s="15">
        <f t="shared" si="2"/>
        <v>0.9793814433</v>
      </c>
    </row>
    <row r="60" ht="15.75" customHeight="1">
      <c r="A60" s="14">
        <v>45623.0</v>
      </c>
      <c r="B60" s="8" t="str">
        <f t="shared" si="1"/>
        <v>Nov-24</v>
      </c>
      <c r="D60" s="12"/>
      <c r="H60" s="13">
        <f t="shared" si="5"/>
        <v>0</v>
      </c>
      <c r="I60" s="13" t="s">
        <v>37</v>
      </c>
      <c r="J60" s="13" t="s">
        <v>87</v>
      </c>
      <c r="K60" s="15" t="str">
        <f t="shared" si="2"/>
        <v>#DIV/0!</v>
      </c>
    </row>
    <row r="61" ht="15.75" customHeight="1">
      <c r="A61" s="14">
        <v>45623.0</v>
      </c>
      <c r="B61" s="8" t="str">
        <f t="shared" si="1"/>
        <v>Nov-24</v>
      </c>
      <c r="D61" s="12" t="s">
        <v>17</v>
      </c>
      <c r="E61" s="13">
        <v>98.0</v>
      </c>
      <c r="H61" s="13">
        <f t="shared" si="5"/>
        <v>98</v>
      </c>
      <c r="I61" s="13" t="s">
        <v>37</v>
      </c>
      <c r="J61" s="13" t="s">
        <v>84</v>
      </c>
      <c r="K61" s="15">
        <f t="shared" si="2"/>
        <v>1</v>
      </c>
    </row>
    <row r="62" ht="15.75" customHeight="1">
      <c r="A62" s="14">
        <v>45623.0</v>
      </c>
      <c r="B62" s="8" t="str">
        <f t="shared" si="1"/>
        <v>Nov-24</v>
      </c>
      <c r="D62" s="12" t="s">
        <v>14</v>
      </c>
      <c r="E62" s="13">
        <v>95.0</v>
      </c>
      <c r="F62" s="13">
        <v>5.0</v>
      </c>
      <c r="H62" s="8">
        <f t="shared" si="5"/>
        <v>100</v>
      </c>
      <c r="I62" s="13" t="s">
        <v>58</v>
      </c>
      <c r="J62" s="13" t="s">
        <v>84</v>
      </c>
      <c r="K62" s="15">
        <f t="shared" si="2"/>
        <v>0.95</v>
      </c>
    </row>
    <row r="63" ht="15.75" customHeight="1">
      <c r="A63" s="14">
        <v>45623.0</v>
      </c>
      <c r="B63" s="8" t="str">
        <f t="shared" si="1"/>
        <v>Nov-24</v>
      </c>
      <c r="D63" s="12" t="s">
        <v>14</v>
      </c>
      <c r="E63" s="13">
        <v>75.0</v>
      </c>
      <c r="F63" s="13">
        <v>13.0</v>
      </c>
      <c r="H63" s="13">
        <f t="shared" si="5"/>
        <v>88</v>
      </c>
      <c r="I63" s="13" t="s">
        <v>46</v>
      </c>
      <c r="J63" s="13" t="s">
        <v>84</v>
      </c>
      <c r="K63" s="15">
        <f t="shared" si="2"/>
        <v>0.8522727273</v>
      </c>
    </row>
    <row r="64" ht="15.75" customHeight="1">
      <c r="A64" s="14">
        <v>45623.0</v>
      </c>
      <c r="B64" s="8" t="str">
        <f t="shared" si="1"/>
        <v>Nov-24</v>
      </c>
      <c r="D64" s="12" t="s">
        <v>14</v>
      </c>
      <c r="E64" s="13">
        <v>70.0</v>
      </c>
      <c r="F64" s="13">
        <v>5.0</v>
      </c>
      <c r="H64" s="13">
        <f t="shared" si="5"/>
        <v>75</v>
      </c>
      <c r="I64" s="13" t="s">
        <v>22</v>
      </c>
      <c r="J64" s="13" t="s">
        <v>84</v>
      </c>
      <c r="K64" s="15">
        <f t="shared" si="2"/>
        <v>0.9333333333</v>
      </c>
    </row>
    <row r="65" ht="15.75" customHeight="1">
      <c r="A65" s="14">
        <v>45624.0</v>
      </c>
      <c r="B65" s="8" t="str">
        <f t="shared" si="1"/>
        <v>Nov-24</v>
      </c>
      <c r="D65" s="12" t="s">
        <v>17</v>
      </c>
      <c r="E65" s="13">
        <v>150.0</v>
      </c>
      <c r="F65" s="13">
        <v>2.0</v>
      </c>
      <c r="H65" s="13">
        <f t="shared" si="5"/>
        <v>152</v>
      </c>
      <c r="I65" s="13" t="s">
        <v>59</v>
      </c>
      <c r="K65" s="15">
        <f t="shared" si="2"/>
        <v>0.9868421053</v>
      </c>
    </row>
    <row r="66" ht="15.75" customHeight="1">
      <c r="A66" s="14">
        <v>45624.0</v>
      </c>
      <c r="B66" s="8" t="str">
        <f t="shared" si="1"/>
        <v>Nov-24</v>
      </c>
      <c r="D66" s="12" t="s">
        <v>14</v>
      </c>
      <c r="E66" s="13">
        <v>95.0</v>
      </c>
      <c r="F66" s="13">
        <v>5.0</v>
      </c>
      <c r="H66" s="8">
        <f t="shared" si="5"/>
        <v>100</v>
      </c>
      <c r="I66" s="13" t="s">
        <v>58</v>
      </c>
      <c r="J66" s="13" t="s">
        <v>84</v>
      </c>
      <c r="K66" s="15">
        <f t="shared" si="2"/>
        <v>0.95</v>
      </c>
    </row>
    <row r="67" ht="15.75" customHeight="1">
      <c r="A67" s="14">
        <v>45624.0</v>
      </c>
      <c r="B67" s="8" t="str">
        <f t="shared" si="1"/>
        <v>Nov-24</v>
      </c>
      <c r="D67" s="12" t="s">
        <v>14</v>
      </c>
      <c r="E67" s="13">
        <v>80.0</v>
      </c>
      <c r="F67" s="13">
        <v>3.0</v>
      </c>
      <c r="H67" s="13">
        <f t="shared" si="5"/>
        <v>83</v>
      </c>
      <c r="I67" s="13" t="s">
        <v>22</v>
      </c>
      <c r="J67" s="13" t="s">
        <v>84</v>
      </c>
      <c r="K67" s="15">
        <f t="shared" si="2"/>
        <v>0.9638554217</v>
      </c>
    </row>
    <row r="68" ht="15.75" customHeight="1">
      <c r="A68" s="14">
        <v>45624.0</v>
      </c>
      <c r="B68" s="8" t="str">
        <f t="shared" si="1"/>
        <v>Nov-24</v>
      </c>
      <c r="D68" s="12" t="s">
        <v>17</v>
      </c>
      <c r="E68" s="13">
        <v>147.0</v>
      </c>
      <c r="F68" s="13">
        <v>2.0</v>
      </c>
      <c r="H68" s="13">
        <f t="shared" si="5"/>
        <v>149</v>
      </c>
      <c r="I68" s="13" t="s">
        <v>37</v>
      </c>
      <c r="J68" s="13" t="s">
        <v>84</v>
      </c>
      <c r="K68" s="15">
        <f t="shared" si="2"/>
        <v>0.9865771812</v>
      </c>
    </row>
    <row r="69" ht="15.75" customHeight="1">
      <c r="A69" s="14">
        <v>45624.0</v>
      </c>
      <c r="B69" s="8" t="str">
        <f t="shared" si="1"/>
        <v>Nov-24</v>
      </c>
      <c r="D69" s="12" t="s">
        <v>14</v>
      </c>
      <c r="E69" s="13">
        <v>87.0</v>
      </c>
      <c r="F69" s="13">
        <v>11.0</v>
      </c>
      <c r="H69" s="13">
        <f t="shared" si="5"/>
        <v>98</v>
      </c>
      <c r="I69" s="13" t="s">
        <v>46</v>
      </c>
      <c r="J69" s="13" t="s">
        <v>84</v>
      </c>
      <c r="K69" s="15">
        <f t="shared" si="2"/>
        <v>0.887755102</v>
      </c>
    </row>
    <row r="70" ht="15.75" customHeight="1">
      <c r="A70" s="14">
        <v>45624.0</v>
      </c>
      <c r="B70" s="8" t="str">
        <f t="shared" si="1"/>
        <v>Nov-24</v>
      </c>
      <c r="D70" s="12" t="s">
        <v>14</v>
      </c>
      <c r="E70" s="13">
        <v>16.0</v>
      </c>
      <c r="F70" s="13">
        <v>2.0</v>
      </c>
      <c r="H70" s="13">
        <f t="shared" si="5"/>
        <v>18</v>
      </c>
      <c r="I70" s="13" t="s">
        <v>23</v>
      </c>
      <c r="J70" s="13" t="s">
        <v>84</v>
      </c>
      <c r="K70" s="15">
        <f t="shared" si="2"/>
        <v>0.8888888889</v>
      </c>
    </row>
    <row r="71" ht="15.75" customHeight="1">
      <c r="A71" s="14">
        <v>45625.0</v>
      </c>
      <c r="B71" s="8" t="str">
        <f t="shared" si="1"/>
        <v>Nov-24</v>
      </c>
      <c r="D71" s="12" t="s">
        <v>14</v>
      </c>
      <c r="E71" s="13">
        <v>98.0</v>
      </c>
      <c r="F71" s="13">
        <v>5.0</v>
      </c>
      <c r="H71" s="8">
        <f t="shared" si="5"/>
        <v>103</v>
      </c>
      <c r="I71" s="13" t="s">
        <v>58</v>
      </c>
      <c r="J71" s="13" t="s">
        <v>84</v>
      </c>
      <c r="K71" s="15">
        <f t="shared" si="2"/>
        <v>0.9514563107</v>
      </c>
    </row>
    <row r="72" ht="15.75" customHeight="1">
      <c r="A72" s="14">
        <v>45625.0</v>
      </c>
      <c r="B72" s="8" t="str">
        <f t="shared" si="1"/>
        <v>Nov-24</v>
      </c>
      <c r="D72" s="12" t="s">
        <v>14</v>
      </c>
      <c r="E72" s="13">
        <v>85.0</v>
      </c>
      <c r="F72" s="13">
        <v>5.0</v>
      </c>
      <c r="H72" s="13">
        <f t="shared" si="5"/>
        <v>90</v>
      </c>
      <c r="I72" s="13" t="s">
        <v>22</v>
      </c>
      <c r="J72" s="13" t="s">
        <v>84</v>
      </c>
      <c r="K72" s="15">
        <f t="shared" si="2"/>
        <v>0.9444444444</v>
      </c>
    </row>
    <row r="73" ht="15.75" customHeight="1">
      <c r="A73" s="14">
        <v>45625.0</v>
      </c>
      <c r="B73" s="8" t="str">
        <f t="shared" si="1"/>
        <v>Nov-24</v>
      </c>
      <c r="D73" s="12" t="s">
        <v>14</v>
      </c>
      <c r="E73" s="13">
        <v>90.0</v>
      </c>
      <c r="F73" s="13">
        <v>6.0</v>
      </c>
      <c r="H73" s="13">
        <f t="shared" si="5"/>
        <v>96</v>
      </c>
      <c r="I73" s="13" t="s">
        <v>46</v>
      </c>
      <c r="J73" s="13" t="s">
        <v>84</v>
      </c>
      <c r="K73" s="15">
        <f t="shared" si="2"/>
        <v>0.9375</v>
      </c>
    </row>
    <row r="74" ht="15.75" customHeight="1">
      <c r="A74" s="14">
        <v>45628.0</v>
      </c>
      <c r="B74" s="8" t="str">
        <f t="shared" si="1"/>
        <v>Dec-24</v>
      </c>
      <c r="D74" s="12" t="s">
        <v>14</v>
      </c>
      <c r="E74" s="13">
        <v>106.0</v>
      </c>
      <c r="H74" s="13">
        <f t="shared" si="5"/>
        <v>106</v>
      </c>
      <c r="I74" s="13" t="s">
        <v>37</v>
      </c>
      <c r="J74" s="13" t="s">
        <v>88</v>
      </c>
      <c r="K74" s="15">
        <f t="shared" si="2"/>
        <v>1</v>
      </c>
    </row>
    <row r="75" ht="15.75" customHeight="1">
      <c r="A75" s="14">
        <v>45628.0</v>
      </c>
      <c r="B75" s="8" t="str">
        <f t="shared" si="1"/>
        <v>Dec-24</v>
      </c>
      <c r="D75" s="12" t="s">
        <v>11</v>
      </c>
      <c r="E75" s="13">
        <v>20.0</v>
      </c>
      <c r="H75" s="13">
        <f t="shared" si="5"/>
        <v>20</v>
      </c>
      <c r="I75" s="13" t="s">
        <v>37</v>
      </c>
      <c r="J75" s="13" t="s">
        <v>88</v>
      </c>
      <c r="K75" s="15">
        <f t="shared" si="2"/>
        <v>1</v>
      </c>
    </row>
    <row r="76" ht="15.75" customHeight="1">
      <c r="A76" s="14">
        <v>45628.0</v>
      </c>
      <c r="B76" s="8" t="str">
        <f t="shared" si="1"/>
        <v>Dec-24</v>
      </c>
      <c r="D76" s="12" t="s">
        <v>17</v>
      </c>
      <c r="E76" s="13">
        <v>75.0</v>
      </c>
      <c r="H76" s="13">
        <f t="shared" si="5"/>
        <v>75</v>
      </c>
      <c r="I76" s="13" t="s">
        <v>37</v>
      </c>
      <c r="J76" s="13" t="s">
        <v>88</v>
      </c>
      <c r="K76" s="15">
        <f t="shared" si="2"/>
        <v>1</v>
      </c>
    </row>
    <row r="77" ht="15.75" customHeight="1">
      <c r="A77" s="14">
        <v>45628.0</v>
      </c>
      <c r="B77" s="8" t="str">
        <f t="shared" si="1"/>
        <v>Dec-24</v>
      </c>
      <c r="D77" s="12" t="s">
        <v>14</v>
      </c>
      <c r="E77" s="13">
        <v>25.0</v>
      </c>
      <c r="H77" s="8">
        <f t="shared" si="5"/>
        <v>25</v>
      </c>
      <c r="I77" s="13" t="s">
        <v>58</v>
      </c>
      <c r="J77" s="13" t="s">
        <v>84</v>
      </c>
      <c r="K77" s="15">
        <f t="shared" si="2"/>
        <v>1</v>
      </c>
    </row>
    <row r="78" ht="15.75" customHeight="1">
      <c r="A78" s="14">
        <v>45628.0</v>
      </c>
      <c r="B78" s="8" t="str">
        <f t="shared" si="1"/>
        <v>Dec-24</v>
      </c>
      <c r="D78" s="12" t="s">
        <v>14</v>
      </c>
      <c r="E78" s="13">
        <v>50.0</v>
      </c>
      <c r="F78" s="13">
        <v>4.0</v>
      </c>
      <c r="H78" s="13">
        <f t="shared" si="5"/>
        <v>54</v>
      </c>
      <c r="I78" s="13" t="s">
        <v>22</v>
      </c>
      <c r="J78" s="13" t="s">
        <v>84</v>
      </c>
      <c r="K78" s="15">
        <f t="shared" si="2"/>
        <v>0.9259259259</v>
      </c>
    </row>
    <row r="79" ht="15.75" customHeight="1">
      <c r="A79" s="14">
        <v>45628.0</v>
      </c>
      <c r="B79" s="8" t="str">
        <f t="shared" si="1"/>
        <v>Dec-24</v>
      </c>
      <c r="D79" s="12" t="s">
        <v>14</v>
      </c>
      <c r="E79" s="13">
        <v>56.0</v>
      </c>
      <c r="F79" s="13">
        <v>3.0</v>
      </c>
      <c r="H79" s="13">
        <f t="shared" si="5"/>
        <v>59</v>
      </c>
      <c r="I79" s="13" t="s">
        <v>46</v>
      </c>
      <c r="J79" s="13" t="s">
        <v>84</v>
      </c>
      <c r="K79" s="15">
        <f t="shared" si="2"/>
        <v>0.9491525424</v>
      </c>
    </row>
    <row r="80" ht="15.75" customHeight="1">
      <c r="A80" s="14">
        <v>45629.0</v>
      </c>
      <c r="B80" s="8" t="str">
        <f t="shared" si="1"/>
        <v>Dec-24</v>
      </c>
      <c r="D80" s="12" t="s">
        <v>17</v>
      </c>
      <c r="E80" s="13">
        <v>200.0</v>
      </c>
      <c r="H80" s="13">
        <f t="shared" si="5"/>
        <v>200</v>
      </c>
      <c r="I80" s="13" t="s">
        <v>59</v>
      </c>
      <c r="J80" s="13" t="s">
        <v>84</v>
      </c>
      <c r="K80" s="15">
        <f t="shared" si="2"/>
        <v>1</v>
      </c>
    </row>
    <row r="81" ht="15.75" customHeight="1">
      <c r="A81" s="14">
        <v>45629.0</v>
      </c>
      <c r="B81" s="8" t="str">
        <f t="shared" si="1"/>
        <v>Dec-24</v>
      </c>
      <c r="C81" s="13" t="s">
        <v>89</v>
      </c>
      <c r="D81" s="12" t="s">
        <v>11</v>
      </c>
      <c r="E81" s="13">
        <v>10.0</v>
      </c>
      <c r="F81" s="13">
        <v>8.0</v>
      </c>
      <c r="H81" s="13">
        <f t="shared" si="5"/>
        <v>18</v>
      </c>
      <c r="I81" s="13" t="s">
        <v>37</v>
      </c>
      <c r="J81" s="13" t="s">
        <v>84</v>
      </c>
      <c r="K81" s="15">
        <f t="shared" si="2"/>
        <v>0.5555555556</v>
      </c>
    </row>
    <row r="82" ht="15.75" customHeight="1">
      <c r="A82" s="14">
        <v>45629.0</v>
      </c>
      <c r="B82" s="8" t="str">
        <f t="shared" si="1"/>
        <v>Dec-24</v>
      </c>
      <c r="C82" s="13">
        <v>72.0</v>
      </c>
      <c r="D82" s="12" t="s">
        <v>11</v>
      </c>
      <c r="E82" s="13">
        <v>150.0</v>
      </c>
      <c r="H82" s="13">
        <f t="shared" si="5"/>
        <v>150</v>
      </c>
      <c r="I82" s="13" t="s">
        <v>37</v>
      </c>
      <c r="J82" s="13" t="s">
        <v>84</v>
      </c>
      <c r="K82" s="15">
        <f t="shared" si="2"/>
        <v>1</v>
      </c>
    </row>
    <row r="83" ht="15.75" customHeight="1">
      <c r="A83" s="14">
        <v>45629.0</v>
      </c>
      <c r="B83" s="8" t="str">
        <f t="shared" si="1"/>
        <v>Dec-24</v>
      </c>
      <c r="D83" s="12" t="s">
        <v>14</v>
      </c>
      <c r="E83" s="13">
        <v>100.0</v>
      </c>
      <c r="F83" s="13">
        <v>7.0</v>
      </c>
      <c r="H83" s="8">
        <f t="shared" si="5"/>
        <v>107</v>
      </c>
      <c r="I83" s="13" t="s">
        <v>58</v>
      </c>
      <c r="J83" s="13" t="s">
        <v>84</v>
      </c>
      <c r="K83" s="15">
        <f t="shared" si="2"/>
        <v>0.9345794393</v>
      </c>
    </row>
    <row r="84" ht="15.75" customHeight="1">
      <c r="A84" s="14">
        <v>45630.0</v>
      </c>
      <c r="B84" s="8" t="str">
        <f t="shared" si="1"/>
        <v>Dec-24</v>
      </c>
      <c r="C84" s="13">
        <v>73.0</v>
      </c>
      <c r="D84" s="12" t="s">
        <v>17</v>
      </c>
      <c r="E84" s="13">
        <v>260.0</v>
      </c>
      <c r="H84" s="13">
        <f t="shared" si="5"/>
        <v>260</v>
      </c>
      <c r="I84" s="13" t="s">
        <v>37</v>
      </c>
      <c r="J84" s="13" t="s">
        <v>84</v>
      </c>
      <c r="K84" s="15">
        <f t="shared" si="2"/>
        <v>1</v>
      </c>
    </row>
    <row r="85" ht="15.75" customHeight="1">
      <c r="A85" s="14">
        <v>45631.0</v>
      </c>
      <c r="B85" s="8" t="str">
        <f t="shared" si="1"/>
        <v>Dec-24</v>
      </c>
      <c r="D85" s="12" t="s">
        <v>14</v>
      </c>
      <c r="E85" s="13">
        <v>100.0</v>
      </c>
      <c r="F85" s="13">
        <v>6.0</v>
      </c>
      <c r="H85" s="8">
        <f t="shared" si="5"/>
        <v>106</v>
      </c>
      <c r="I85" s="13" t="s">
        <v>58</v>
      </c>
      <c r="J85" s="13" t="s">
        <v>84</v>
      </c>
      <c r="K85" s="15">
        <f t="shared" si="2"/>
        <v>0.9433962264</v>
      </c>
    </row>
    <row r="86" ht="15.75" customHeight="1">
      <c r="A86" s="14">
        <v>45632.0</v>
      </c>
      <c r="B86" s="8" t="str">
        <f t="shared" si="1"/>
        <v>Dec-24</v>
      </c>
      <c r="D86" s="12" t="s">
        <v>14</v>
      </c>
      <c r="E86" s="13">
        <v>137.0</v>
      </c>
      <c r="H86" s="13">
        <f t="shared" si="5"/>
        <v>137</v>
      </c>
      <c r="I86" s="13" t="s">
        <v>46</v>
      </c>
      <c r="J86" s="13" t="s">
        <v>88</v>
      </c>
      <c r="K86" s="15">
        <f t="shared" si="2"/>
        <v>1</v>
      </c>
    </row>
    <row r="87" ht="15.75" customHeight="1">
      <c r="A87" s="14">
        <v>45632.0</v>
      </c>
      <c r="B87" s="8" t="str">
        <f t="shared" si="1"/>
        <v>Dec-24</v>
      </c>
      <c r="D87" s="12" t="s">
        <v>15</v>
      </c>
      <c r="E87" s="13">
        <v>13.0</v>
      </c>
      <c r="H87" s="13">
        <f t="shared" si="5"/>
        <v>13</v>
      </c>
      <c r="I87" s="13" t="s">
        <v>46</v>
      </c>
      <c r="J87" s="13" t="s">
        <v>88</v>
      </c>
      <c r="K87" s="15">
        <f t="shared" si="2"/>
        <v>1</v>
      </c>
    </row>
    <row r="88" ht="15.75" customHeight="1">
      <c r="A88" s="14">
        <v>45635.0</v>
      </c>
      <c r="B88" s="8" t="str">
        <f t="shared" si="1"/>
        <v>Dec-24</v>
      </c>
      <c r="D88" s="12" t="s">
        <v>14</v>
      </c>
      <c r="E88" s="13">
        <v>95.0</v>
      </c>
      <c r="F88" s="13">
        <v>10.0</v>
      </c>
      <c r="H88" s="13">
        <f t="shared" si="5"/>
        <v>105</v>
      </c>
      <c r="I88" s="13" t="s">
        <v>59</v>
      </c>
      <c r="K88" s="15">
        <f t="shared" si="2"/>
        <v>0.9047619048</v>
      </c>
    </row>
    <row r="89" ht="15.75" customHeight="1">
      <c r="A89" s="14">
        <v>45635.0</v>
      </c>
      <c r="B89" s="8" t="str">
        <f t="shared" si="1"/>
        <v>Dec-24</v>
      </c>
      <c r="D89" s="12" t="s">
        <v>14</v>
      </c>
      <c r="E89" s="13">
        <v>93.0</v>
      </c>
      <c r="F89" s="13">
        <v>13.0</v>
      </c>
      <c r="H89" s="13">
        <f t="shared" si="5"/>
        <v>106</v>
      </c>
      <c r="I89" s="13" t="s">
        <v>46</v>
      </c>
      <c r="K89" s="15">
        <f t="shared" si="2"/>
        <v>0.8773584906</v>
      </c>
    </row>
    <row r="90" ht="15.75" customHeight="1">
      <c r="A90" s="14">
        <v>45635.0</v>
      </c>
      <c r="B90" s="8" t="str">
        <f t="shared" si="1"/>
        <v>Dec-24</v>
      </c>
      <c r="D90" s="12" t="s">
        <v>14</v>
      </c>
      <c r="E90" s="13">
        <v>100.0</v>
      </c>
      <c r="F90" s="13">
        <v>5.0</v>
      </c>
      <c r="H90" s="8">
        <f t="shared" si="5"/>
        <v>105</v>
      </c>
      <c r="I90" s="13" t="s">
        <v>58</v>
      </c>
      <c r="K90" s="15">
        <f t="shared" si="2"/>
        <v>0.9523809524</v>
      </c>
    </row>
    <row r="91" ht="15.75" customHeight="1">
      <c r="A91" s="14">
        <v>45635.0</v>
      </c>
      <c r="B91" s="8" t="str">
        <f t="shared" si="1"/>
        <v>Dec-24</v>
      </c>
      <c r="D91" s="12" t="s">
        <v>14</v>
      </c>
      <c r="E91" s="13">
        <v>45.0</v>
      </c>
      <c r="F91" s="13">
        <v>2.0</v>
      </c>
      <c r="H91" s="13">
        <f t="shared" si="5"/>
        <v>47</v>
      </c>
      <c r="I91" s="13" t="s">
        <v>53</v>
      </c>
      <c r="K91" s="15">
        <f t="shared" si="2"/>
        <v>0.9574468085</v>
      </c>
    </row>
    <row r="92" ht="15.75" customHeight="1">
      <c r="A92" s="14">
        <v>45635.0</v>
      </c>
      <c r="B92" s="8" t="str">
        <f t="shared" si="1"/>
        <v>Dec-24</v>
      </c>
      <c r="D92" s="12" t="s">
        <v>14</v>
      </c>
      <c r="E92" s="13">
        <v>30.0</v>
      </c>
      <c r="F92" s="13">
        <v>10.0</v>
      </c>
      <c r="H92" s="13">
        <f t="shared" si="5"/>
        <v>40</v>
      </c>
      <c r="I92" s="13" t="s">
        <v>23</v>
      </c>
      <c r="K92" s="15">
        <f t="shared" si="2"/>
        <v>0.75</v>
      </c>
    </row>
    <row r="93" ht="15.75" customHeight="1">
      <c r="A93" s="14">
        <v>45636.0</v>
      </c>
      <c r="B93" s="8" t="str">
        <f t="shared" si="1"/>
        <v>Dec-24</v>
      </c>
      <c r="D93" s="12" t="s">
        <v>14</v>
      </c>
      <c r="E93" s="13">
        <v>54.0</v>
      </c>
      <c r="F93" s="13">
        <v>17.0</v>
      </c>
      <c r="H93" s="13">
        <f t="shared" si="5"/>
        <v>71</v>
      </c>
      <c r="I93" s="13" t="s">
        <v>53</v>
      </c>
      <c r="K93" s="15">
        <f t="shared" si="2"/>
        <v>0.7605633803</v>
      </c>
    </row>
    <row r="94" ht="15.75" customHeight="1">
      <c r="A94" s="14">
        <v>45636.0</v>
      </c>
      <c r="B94" s="8" t="str">
        <f t="shared" si="1"/>
        <v>Dec-24</v>
      </c>
      <c r="D94" s="12" t="s">
        <v>14</v>
      </c>
      <c r="E94" s="13">
        <v>110.0</v>
      </c>
      <c r="F94" s="13">
        <v>13.0</v>
      </c>
      <c r="H94" s="13">
        <f t="shared" si="5"/>
        <v>123</v>
      </c>
      <c r="I94" s="13" t="s">
        <v>59</v>
      </c>
      <c r="K94" s="15">
        <f t="shared" si="2"/>
        <v>0.8943089431</v>
      </c>
    </row>
    <row r="95" ht="15.75" customHeight="1">
      <c r="A95" s="14">
        <v>45636.0</v>
      </c>
      <c r="B95" s="8" t="str">
        <f t="shared" si="1"/>
        <v>Dec-24</v>
      </c>
      <c r="D95" s="12" t="s">
        <v>14</v>
      </c>
      <c r="E95" s="13">
        <v>50.0</v>
      </c>
      <c r="F95" s="13">
        <v>4.0</v>
      </c>
      <c r="H95" s="8">
        <f t="shared" si="5"/>
        <v>54</v>
      </c>
      <c r="I95" s="13" t="s">
        <v>58</v>
      </c>
      <c r="K95" s="15">
        <f t="shared" si="2"/>
        <v>0.9259259259</v>
      </c>
    </row>
    <row r="96" ht="15.75" customHeight="1">
      <c r="A96" s="14">
        <v>45636.0</v>
      </c>
      <c r="B96" s="8" t="str">
        <f t="shared" si="1"/>
        <v>Dec-24</v>
      </c>
      <c r="D96" s="12" t="s">
        <v>14</v>
      </c>
      <c r="E96" s="13">
        <v>35.0</v>
      </c>
      <c r="F96" s="13">
        <v>12.0</v>
      </c>
      <c r="H96" s="13">
        <f t="shared" si="5"/>
        <v>47</v>
      </c>
      <c r="I96" s="13" t="s">
        <v>23</v>
      </c>
      <c r="K96" s="15">
        <f t="shared" si="2"/>
        <v>0.7446808511</v>
      </c>
    </row>
    <row r="97" ht="15.75" customHeight="1">
      <c r="A97" s="14">
        <v>45637.0</v>
      </c>
      <c r="B97" s="8" t="str">
        <f t="shared" si="1"/>
        <v>Dec-24</v>
      </c>
      <c r="D97" s="12" t="s">
        <v>14</v>
      </c>
      <c r="E97" s="13">
        <v>95.0</v>
      </c>
      <c r="F97" s="13">
        <v>5.0</v>
      </c>
      <c r="H97" s="13">
        <f t="shared" si="5"/>
        <v>100</v>
      </c>
      <c r="I97" s="13" t="s">
        <v>37</v>
      </c>
      <c r="K97" s="15">
        <f t="shared" si="2"/>
        <v>0.95</v>
      </c>
    </row>
    <row r="98" ht="15.75" customHeight="1">
      <c r="A98" s="14">
        <v>45637.0</v>
      </c>
      <c r="B98" s="8" t="str">
        <f t="shared" si="1"/>
        <v>Dec-24</v>
      </c>
      <c r="D98" s="12" t="s">
        <v>14</v>
      </c>
      <c r="E98" s="13">
        <v>101.0</v>
      </c>
      <c r="F98" s="13">
        <v>7.0</v>
      </c>
      <c r="H98" s="8">
        <f t="shared" si="5"/>
        <v>108</v>
      </c>
      <c r="I98" s="13" t="s">
        <v>58</v>
      </c>
      <c r="K98" s="15">
        <f t="shared" si="2"/>
        <v>0.9351851852</v>
      </c>
    </row>
    <row r="99" ht="15.75" customHeight="1">
      <c r="A99" s="14">
        <v>45637.0</v>
      </c>
      <c r="B99" s="8" t="str">
        <f t="shared" si="1"/>
        <v>Dec-24</v>
      </c>
      <c r="D99" s="12" t="s">
        <v>14</v>
      </c>
      <c r="E99" s="13">
        <v>100.0</v>
      </c>
      <c r="F99" s="13">
        <v>6.0</v>
      </c>
      <c r="H99" s="13">
        <f t="shared" si="5"/>
        <v>106</v>
      </c>
      <c r="I99" s="13" t="s">
        <v>46</v>
      </c>
      <c r="K99" s="15">
        <f t="shared" si="2"/>
        <v>0.9433962264</v>
      </c>
    </row>
    <row r="100" ht="15.75" customHeight="1">
      <c r="A100" s="14">
        <v>45637.0</v>
      </c>
      <c r="B100" s="8" t="str">
        <f t="shared" si="1"/>
        <v>Dec-24</v>
      </c>
      <c r="D100" s="12" t="s">
        <v>14</v>
      </c>
      <c r="E100" s="13">
        <v>101.0</v>
      </c>
      <c r="F100" s="13">
        <v>9.0</v>
      </c>
      <c r="H100" s="13">
        <f t="shared" si="5"/>
        <v>110</v>
      </c>
      <c r="I100" s="13" t="s">
        <v>59</v>
      </c>
      <c r="K100" s="15">
        <f t="shared" si="2"/>
        <v>0.9181818182</v>
      </c>
    </row>
    <row r="101" ht="15.75" customHeight="1">
      <c r="A101" s="14">
        <v>45637.0</v>
      </c>
      <c r="B101" s="8" t="str">
        <f t="shared" si="1"/>
        <v>Dec-24</v>
      </c>
      <c r="D101" s="12" t="s">
        <v>14</v>
      </c>
      <c r="E101" s="13">
        <v>90.0</v>
      </c>
      <c r="F101" s="13">
        <v>3.0</v>
      </c>
      <c r="H101" s="13">
        <f t="shared" si="5"/>
        <v>93</v>
      </c>
      <c r="I101" s="13" t="s">
        <v>22</v>
      </c>
      <c r="K101" s="15">
        <f t="shared" si="2"/>
        <v>0.9677419355</v>
      </c>
    </row>
    <row r="102" ht="15.75" customHeight="1">
      <c r="A102" s="14">
        <v>45637.0</v>
      </c>
      <c r="B102" s="8" t="str">
        <f t="shared" si="1"/>
        <v>Dec-24</v>
      </c>
      <c r="D102" s="12" t="s">
        <v>14</v>
      </c>
      <c r="E102" s="13">
        <v>8.0</v>
      </c>
      <c r="H102" s="13">
        <f t="shared" si="5"/>
        <v>8</v>
      </c>
      <c r="I102" s="13" t="s">
        <v>23</v>
      </c>
      <c r="K102" s="15">
        <f t="shared" si="2"/>
        <v>1</v>
      </c>
    </row>
    <row r="103" ht="15.75" customHeight="1">
      <c r="A103" s="14">
        <v>45638.0</v>
      </c>
      <c r="B103" s="8" t="str">
        <f t="shared" si="1"/>
        <v>Dec-24</v>
      </c>
      <c r="D103" s="12" t="s">
        <v>14</v>
      </c>
      <c r="E103" s="13">
        <v>103.0</v>
      </c>
      <c r="F103" s="13">
        <v>6.0</v>
      </c>
      <c r="H103" s="8">
        <f t="shared" si="5"/>
        <v>109</v>
      </c>
      <c r="I103" s="13" t="s">
        <v>58</v>
      </c>
      <c r="K103" s="15">
        <f t="shared" si="2"/>
        <v>0.9449541284</v>
      </c>
    </row>
    <row r="104" ht="15.75" customHeight="1">
      <c r="A104" s="14">
        <v>45638.0</v>
      </c>
      <c r="B104" s="8" t="str">
        <f t="shared" si="1"/>
        <v>Dec-24</v>
      </c>
      <c r="D104" s="12" t="s">
        <v>14</v>
      </c>
      <c r="E104" s="13">
        <v>90.0</v>
      </c>
      <c r="F104" s="13">
        <v>7.0</v>
      </c>
      <c r="H104" s="13">
        <f t="shared" si="5"/>
        <v>97</v>
      </c>
      <c r="I104" s="13" t="s">
        <v>37</v>
      </c>
      <c r="K104" s="15">
        <f t="shared" si="2"/>
        <v>0.9278350515</v>
      </c>
    </row>
    <row r="105" ht="15.75" customHeight="1">
      <c r="A105" s="14">
        <v>45638.0</v>
      </c>
      <c r="B105" s="8" t="str">
        <f t="shared" si="1"/>
        <v>Dec-24</v>
      </c>
      <c r="D105" s="12" t="s">
        <v>14</v>
      </c>
      <c r="E105" s="13">
        <v>95.0</v>
      </c>
      <c r="F105" s="13">
        <v>9.0</v>
      </c>
      <c r="H105" s="13">
        <f t="shared" si="5"/>
        <v>104</v>
      </c>
      <c r="I105" s="13" t="s">
        <v>46</v>
      </c>
      <c r="K105" s="15">
        <f t="shared" si="2"/>
        <v>0.9134615385</v>
      </c>
    </row>
    <row r="106" ht="15.75" customHeight="1">
      <c r="A106" s="14">
        <v>45639.0</v>
      </c>
      <c r="B106" s="8" t="str">
        <f t="shared" si="1"/>
        <v>Dec-24</v>
      </c>
      <c r="D106" s="12" t="s">
        <v>14</v>
      </c>
      <c r="E106" s="13">
        <v>106.0</v>
      </c>
      <c r="F106" s="13">
        <v>10.0</v>
      </c>
      <c r="H106" s="13">
        <f t="shared" si="5"/>
        <v>116</v>
      </c>
      <c r="I106" s="13" t="s">
        <v>37</v>
      </c>
      <c r="K106" s="15">
        <f t="shared" si="2"/>
        <v>0.9137931034</v>
      </c>
    </row>
    <row r="107" ht="15.75" customHeight="1">
      <c r="A107" s="14">
        <v>45639.0</v>
      </c>
      <c r="B107" s="8" t="str">
        <f t="shared" si="1"/>
        <v>Dec-24</v>
      </c>
      <c r="D107" s="12" t="s">
        <v>14</v>
      </c>
      <c r="E107" s="13">
        <v>107.0</v>
      </c>
      <c r="F107" s="13">
        <v>5.0</v>
      </c>
      <c r="H107" s="8">
        <f t="shared" si="5"/>
        <v>112</v>
      </c>
      <c r="I107" s="13" t="s">
        <v>58</v>
      </c>
      <c r="K107" s="15">
        <f t="shared" si="2"/>
        <v>0.9553571429</v>
      </c>
    </row>
    <row r="108" ht="15.75" customHeight="1">
      <c r="A108" s="14">
        <v>45640.0</v>
      </c>
      <c r="B108" s="8" t="str">
        <f t="shared" si="1"/>
        <v>Dec-24</v>
      </c>
      <c r="D108" s="12" t="s">
        <v>14</v>
      </c>
      <c r="E108" s="13">
        <v>106.0</v>
      </c>
      <c r="F108" s="13">
        <v>4.0</v>
      </c>
      <c r="H108" s="8">
        <f t="shared" si="5"/>
        <v>110</v>
      </c>
      <c r="I108" s="13" t="s">
        <v>58</v>
      </c>
      <c r="K108" s="15">
        <f t="shared" si="2"/>
        <v>0.9636363636</v>
      </c>
    </row>
    <row r="109" ht="15.75" customHeight="1">
      <c r="A109" s="14">
        <v>45640.0</v>
      </c>
      <c r="B109" s="8" t="str">
        <f t="shared" si="1"/>
        <v>Dec-24</v>
      </c>
      <c r="D109" s="12" t="s">
        <v>14</v>
      </c>
      <c r="E109" s="13">
        <v>132.0</v>
      </c>
      <c r="F109" s="13">
        <v>8.0</v>
      </c>
      <c r="H109" s="13">
        <f t="shared" si="5"/>
        <v>140</v>
      </c>
      <c r="I109" s="13" t="s">
        <v>37</v>
      </c>
      <c r="K109" s="15">
        <f t="shared" si="2"/>
        <v>0.9428571429</v>
      </c>
    </row>
    <row r="110" ht="15.75" customHeight="1">
      <c r="A110" s="14">
        <v>45640.0</v>
      </c>
      <c r="B110" s="8" t="str">
        <f t="shared" si="1"/>
        <v>Dec-24</v>
      </c>
      <c r="D110" s="12" t="s">
        <v>14</v>
      </c>
      <c r="E110" s="13">
        <v>110.0</v>
      </c>
      <c r="F110" s="13">
        <v>9.0</v>
      </c>
      <c r="H110" s="13">
        <f t="shared" si="5"/>
        <v>119</v>
      </c>
      <c r="I110" s="13" t="s">
        <v>46</v>
      </c>
      <c r="K110" s="15">
        <f t="shared" si="2"/>
        <v>0.9243697479</v>
      </c>
    </row>
    <row r="111" ht="15.75" customHeight="1">
      <c r="A111" s="14">
        <v>45643.0</v>
      </c>
      <c r="B111" s="8" t="str">
        <f t="shared" si="1"/>
        <v>Dec-24</v>
      </c>
      <c r="C111" s="13">
        <v>74.0</v>
      </c>
      <c r="D111" s="12" t="s">
        <v>11</v>
      </c>
      <c r="E111" s="13">
        <v>140.0</v>
      </c>
      <c r="F111" s="13">
        <v>10.0</v>
      </c>
      <c r="H111" s="13">
        <f t="shared" si="5"/>
        <v>150</v>
      </c>
      <c r="I111" s="13" t="s">
        <v>37</v>
      </c>
      <c r="K111" s="15">
        <f t="shared" si="2"/>
        <v>0.9333333333</v>
      </c>
    </row>
    <row r="112" ht="15.75" customHeight="1">
      <c r="A112" s="14">
        <v>45646.0</v>
      </c>
      <c r="B112" s="8" t="str">
        <f t="shared" si="1"/>
        <v>Dec-24</v>
      </c>
      <c r="D112" s="12" t="s">
        <v>17</v>
      </c>
      <c r="E112" s="13">
        <v>140.0</v>
      </c>
      <c r="F112" s="13">
        <v>8.0</v>
      </c>
      <c r="H112" s="13">
        <f t="shared" si="5"/>
        <v>148</v>
      </c>
      <c r="I112" s="13" t="s">
        <v>59</v>
      </c>
      <c r="K112" s="15">
        <f t="shared" si="2"/>
        <v>0.9459459459</v>
      </c>
    </row>
    <row r="113" ht="15.75" customHeight="1">
      <c r="A113" s="14">
        <v>45646.0</v>
      </c>
      <c r="B113" s="8" t="str">
        <f t="shared" si="1"/>
        <v>Dec-24</v>
      </c>
      <c r="D113" s="12" t="s">
        <v>15</v>
      </c>
      <c r="E113" s="13">
        <v>25.0</v>
      </c>
      <c r="F113" s="13">
        <v>4.0</v>
      </c>
      <c r="H113" s="13">
        <f t="shared" si="5"/>
        <v>29</v>
      </c>
      <c r="I113" s="13" t="s">
        <v>59</v>
      </c>
      <c r="K113" s="15">
        <f t="shared" si="2"/>
        <v>0.8620689655</v>
      </c>
    </row>
    <row r="114" ht="15.75" customHeight="1">
      <c r="A114" s="14">
        <v>45646.0</v>
      </c>
      <c r="B114" s="8" t="str">
        <f t="shared" si="1"/>
        <v>Dec-24</v>
      </c>
      <c r="D114" s="12" t="s">
        <v>17</v>
      </c>
      <c r="E114" s="13">
        <v>153.0</v>
      </c>
      <c r="F114" s="13">
        <v>9.0</v>
      </c>
      <c r="H114" s="13">
        <f t="shared" si="5"/>
        <v>162</v>
      </c>
      <c r="I114" s="13" t="s">
        <v>37</v>
      </c>
      <c r="K114" s="15">
        <f t="shared" si="2"/>
        <v>0.9444444444</v>
      </c>
    </row>
    <row r="115" ht="15.75" customHeight="1">
      <c r="A115" s="14">
        <v>45646.0</v>
      </c>
      <c r="B115" s="8" t="str">
        <f t="shared" si="1"/>
        <v>Dec-24</v>
      </c>
      <c r="D115" s="12" t="s">
        <v>15</v>
      </c>
      <c r="E115" s="13">
        <v>25.0</v>
      </c>
      <c r="F115" s="13">
        <v>6.0</v>
      </c>
      <c r="H115" s="13">
        <f t="shared" si="5"/>
        <v>31</v>
      </c>
      <c r="I115" s="13" t="s">
        <v>37</v>
      </c>
      <c r="K115" s="15">
        <f t="shared" si="2"/>
        <v>0.8064516129</v>
      </c>
    </row>
    <row r="116" ht="15.75" customHeight="1">
      <c r="A116" s="14">
        <v>45646.0</v>
      </c>
      <c r="B116" s="8" t="str">
        <f t="shared" si="1"/>
        <v>Dec-24</v>
      </c>
      <c r="D116" s="12" t="s">
        <v>17</v>
      </c>
      <c r="E116" s="13">
        <v>146.0</v>
      </c>
      <c r="F116" s="13">
        <v>6.0</v>
      </c>
      <c r="H116" s="13">
        <f t="shared" si="5"/>
        <v>152</v>
      </c>
      <c r="I116" s="13" t="s">
        <v>46</v>
      </c>
      <c r="K116" s="15">
        <f t="shared" si="2"/>
        <v>0.9605263158</v>
      </c>
    </row>
    <row r="117" ht="15.75" customHeight="1">
      <c r="A117" s="14">
        <v>45646.0</v>
      </c>
      <c r="B117" s="8" t="str">
        <f t="shared" si="1"/>
        <v>Dec-24</v>
      </c>
      <c r="D117" s="12" t="s">
        <v>15</v>
      </c>
      <c r="E117" s="13">
        <v>20.0</v>
      </c>
      <c r="F117" s="13">
        <v>4.0</v>
      </c>
      <c r="H117" s="13">
        <f t="shared" si="5"/>
        <v>24</v>
      </c>
      <c r="I117" s="13" t="s">
        <v>46</v>
      </c>
      <c r="K117" s="15">
        <f t="shared" si="2"/>
        <v>0.8333333333</v>
      </c>
    </row>
    <row r="118" ht="15.75" customHeight="1">
      <c r="A118" s="14">
        <v>45647.0</v>
      </c>
      <c r="B118" s="8" t="str">
        <f t="shared" si="1"/>
        <v>Dec-24</v>
      </c>
      <c r="D118" s="12" t="s">
        <v>31</v>
      </c>
      <c r="E118" s="13">
        <v>100.0</v>
      </c>
      <c r="F118" s="13">
        <v>11.0</v>
      </c>
      <c r="H118" s="13">
        <f t="shared" si="5"/>
        <v>111</v>
      </c>
      <c r="I118" s="13" t="s">
        <v>59</v>
      </c>
      <c r="K118" s="15">
        <f t="shared" si="2"/>
        <v>0.9009009009</v>
      </c>
    </row>
    <row r="119" ht="15.75" customHeight="1">
      <c r="A119" s="14">
        <v>45647.0</v>
      </c>
      <c r="B119" s="8" t="str">
        <f t="shared" si="1"/>
        <v>Dec-24</v>
      </c>
      <c r="D119" s="12" t="s">
        <v>31</v>
      </c>
      <c r="E119" s="13">
        <v>100.0</v>
      </c>
      <c r="F119" s="13">
        <v>14.0</v>
      </c>
      <c r="H119" s="13">
        <f t="shared" si="5"/>
        <v>114</v>
      </c>
      <c r="I119" s="13" t="s">
        <v>37</v>
      </c>
      <c r="K119" s="15">
        <f t="shared" si="2"/>
        <v>0.8771929825</v>
      </c>
    </row>
    <row r="120" ht="15.75" customHeight="1">
      <c r="A120" s="14">
        <v>45647.0</v>
      </c>
      <c r="B120" s="8" t="str">
        <f t="shared" si="1"/>
        <v>Dec-24</v>
      </c>
      <c r="D120" s="12" t="s">
        <v>31</v>
      </c>
      <c r="E120" s="13">
        <v>101.0</v>
      </c>
      <c r="F120" s="13">
        <v>4.0</v>
      </c>
      <c r="H120" s="8">
        <f t="shared" si="5"/>
        <v>105</v>
      </c>
      <c r="I120" s="13" t="s">
        <v>58</v>
      </c>
      <c r="K120" s="15">
        <f t="shared" si="2"/>
        <v>0.9619047619</v>
      </c>
    </row>
    <row r="121" ht="15.75" customHeight="1">
      <c r="A121" s="14">
        <v>45647.0</v>
      </c>
      <c r="B121" s="8" t="str">
        <f t="shared" si="1"/>
        <v>Dec-24</v>
      </c>
      <c r="D121" s="12" t="s">
        <v>14</v>
      </c>
      <c r="E121" s="13">
        <v>60.0</v>
      </c>
      <c r="F121" s="13">
        <v>10.0</v>
      </c>
      <c r="H121" s="13">
        <f t="shared" si="5"/>
        <v>70</v>
      </c>
      <c r="I121" s="13" t="s">
        <v>23</v>
      </c>
      <c r="J121" s="13" t="s">
        <v>90</v>
      </c>
      <c r="K121" s="15">
        <f t="shared" si="2"/>
        <v>0.8571428571</v>
      </c>
    </row>
    <row r="122" ht="15.75" customHeight="1">
      <c r="A122" s="14">
        <v>45649.0</v>
      </c>
      <c r="B122" s="8" t="str">
        <f t="shared" si="1"/>
        <v>Dec-24</v>
      </c>
      <c r="D122" s="12" t="s">
        <v>31</v>
      </c>
      <c r="E122" s="13">
        <v>102.0</v>
      </c>
      <c r="F122" s="13">
        <v>13.0</v>
      </c>
      <c r="H122" s="13">
        <f t="shared" si="5"/>
        <v>115</v>
      </c>
      <c r="I122" s="13" t="s">
        <v>59</v>
      </c>
      <c r="K122" s="15">
        <f t="shared" si="2"/>
        <v>0.8869565217</v>
      </c>
    </row>
    <row r="123" ht="15.75" customHeight="1">
      <c r="A123" s="14">
        <v>45649.0</v>
      </c>
      <c r="B123" s="8" t="str">
        <f t="shared" si="1"/>
        <v>Dec-24</v>
      </c>
      <c r="D123" s="12" t="s">
        <v>31</v>
      </c>
      <c r="E123" s="13">
        <v>108.0</v>
      </c>
      <c r="F123" s="13">
        <v>5.0</v>
      </c>
      <c r="H123" s="8">
        <f t="shared" si="5"/>
        <v>113</v>
      </c>
      <c r="I123" s="13" t="s">
        <v>58</v>
      </c>
      <c r="K123" s="15">
        <f t="shared" si="2"/>
        <v>0.9557522124</v>
      </c>
    </row>
    <row r="124" ht="15.75" customHeight="1">
      <c r="A124" s="14">
        <v>45654.0</v>
      </c>
      <c r="B124" s="8" t="str">
        <f t="shared" si="1"/>
        <v>Dec-24</v>
      </c>
      <c r="D124" s="12" t="s">
        <v>31</v>
      </c>
      <c r="E124" s="13">
        <v>25.0</v>
      </c>
      <c r="H124" s="13">
        <f t="shared" si="5"/>
        <v>25</v>
      </c>
      <c r="I124" s="13" t="s">
        <v>23</v>
      </c>
      <c r="J124" s="13" t="s">
        <v>90</v>
      </c>
      <c r="K124" s="15">
        <f t="shared" si="2"/>
        <v>1</v>
      </c>
    </row>
    <row r="125" ht="15.75" customHeight="1">
      <c r="A125" s="14">
        <v>45654.0</v>
      </c>
      <c r="B125" s="8" t="str">
        <f t="shared" si="1"/>
        <v>Dec-24</v>
      </c>
      <c r="D125" s="12" t="s">
        <v>17</v>
      </c>
      <c r="E125" s="13">
        <v>50.0</v>
      </c>
      <c r="H125" s="13">
        <f t="shared" si="5"/>
        <v>50</v>
      </c>
      <c r="I125" s="13" t="s">
        <v>23</v>
      </c>
      <c r="J125" s="13" t="s">
        <v>90</v>
      </c>
      <c r="K125" s="15">
        <f t="shared" si="2"/>
        <v>1</v>
      </c>
    </row>
    <row r="126" ht="15.75" customHeight="1">
      <c r="A126" s="14">
        <v>45660.0</v>
      </c>
      <c r="B126" s="8" t="str">
        <f t="shared" si="1"/>
        <v>Jan-25</v>
      </c>
      <c r="C126" s="13" t="s">
        <v>40</v>
      </c>
      <c r="D126" s="12" t="s">
        <v>11</v>
      </c>
      <c r="E126" s="13">
        <v>140.0</v>
      </c>
      <c r="F126" s="13">
        <v>14.0</v>
      </c>
      <c r="H126" s="13">
        <f t="shared" si="5"/>
        <v>154</v>
      </c>
      <c r="I126" s="13" t="s">
        <v>59</v>
      </c>
      <c r="K126" s="15">
        <f t="shared" si="2"/>
        <v>0.9090909091</v>
      </c>
    </row>
    <row r="127" ht="15.75" customHeight="1">
      <c r="A127" s="14">
        <v>45660.0</v>
      </c>
      <c r="B127" s="8" t="str">
        <f t="shared" si="1"/>
        <v>Jan-25</v>
      </c>
      <c r="C127" s="13" t="s">
        <v>40</v>
      </c>
      <c r="D127" s="12" t="s">
        <v>11</v>
      </c>
      <c r="E127" s="13">
        <v>135.0</v>
      </c>
      <c r="F127" s="13">
        <v>10.0</v>
      </c>
      <c r="H127" s="13">
        <f t="shared" si="5"/>
        <v>145</v>
      </c>
      <c r="I127" s="13" t="s">
        <v>37</v>
      </c>
      <c r="K127" s="15">
        <f t="shared" si="2"/>
        <v>0.9310344828</v>
      </c>
    </row>
    <row r="128" ht="15.75" customHeight="1">
      <c r="A128" s="14">
        <v>45663.0</v>
      </c>
      <c r="B128" s="8" t="str">
        <f t="shared" si="1"/>
        <v>Jan-25</v>
      </c>
      <c r="C128" s="13" t="s">
        <v>40</v>
      </c>
      <c r="D128" s="12" t="s">
        <v>14</v>
      </c>
      <c r="E128" s="13">
        <v>104.0</v>
      </c>
      <c r="F128" s="13">
        <v>8.0</v>
      </c>
      <c r="H128" s="13">
        <f t="shared" si="5"/>
        <v>112</v>
      </c>
      <c r="I128" s="13" t="s">
        <v>37</v>
      </c>
      <c r="K128" s="15">
        <f t="shared" si="2"/>
        <v>0.9285714286</v>
      </c>
    </row>
    <row r="129" ht="15.75" customHeight="1">
      <c r="A129" s="14">
        <v>45663.0</v>
      </c>
      <c r="B129" s="8" t="str">
        <f t="shared" si="1"/>
        <v>Jan-25</v>
      </c>
      <c r="C129" s="13" t="s">
        <v>40</v>
      </c>
      <c r="D129" s="12" t="s">
        <v>14</v>
      </c>
      <c r="E129" s="13">
        <v>90.0</v>
      </c>
      <c r="F129" s="13">
        <v>7.0</v>
      </c>
      <c r="H129" s="13">
        <f t="shared" si="5"/>
        <v>97</v>
      </c>
      <c r="I129" s="13" t="s">
        <v>22</v>
      </c>
      <c r="K129" s="15">
        <f t="shared" si="2"/>
        <v>0.9278350515</v>
      </c>
    </row>
    <row r="130" ht="15.75" customHeight="1">
      <c r="A130" s="14">
        <v>45664.0</v>
      </c>
      <c r="B130" s="8" t="str">
        <f t="shared" si="1"/>
        <v>Jan-25</v>
      </c>
      <c r="D130" s="12" t="s">
        <v>14</v>
      </c>
      <c r="E130" s="13">
        <v>81.0</v>
      </c>
      <c r="H130" s="13">
        <f t="shared" si="5"/>
        <v>81</v>
      </c>
      <c r="I130" s="13" t="s">
        <v>37</v>
      </c>
      <c r="J130" s="13" t="s">
        <v>90</v>
      </c>
      <c r="K130" s="15">
        <f t="shared" si="2"/>
        <v>1</v>
      </c>
    </row>
    <row r="131" ht="15.75" customHeight="1">
      <c r="A131" s="14">
        <v>45664.0</v>
      </c>
      <c r="B131" s="8" t="str">
        <f t="shared" si="1"/>
        <v>Jan-25</v>
      </c>
      <c r="D131" s="12" t="s">
        <v>11</v>
      </c>
      <c r="E131" s="13">
        <v>70.0</v>
      </c>
      <c r="H131" s="13">
        <f t="shared" si="5"/>
        <v>70</v>
      </c>
      <c r="I131" s="13" t="s">
        <v>37</v>
      </c>
      <c r="J131" s="13" t="s">
        <v>90</v>
      </c>
      <c r="K131" s="15">
        <f t="shared" si="2"/>
        <v>1</v>
      </c>
    </row>
    <row r="132" ht="15.75" customHeight="1">
      <c r="A132" s="14">
        <v>45664.0</v>
      </c>
      <c r="B132" s="8" t="str">
        <f t="shared" si="1"/>
        <v>Jan-25</v>
      </c>
      <c r="D132" s="12" t="s">
        <v>17</v>
      </c>
      <c r="E132" s="13">
        <v>20.0</v>
      </c>
      <c r="H132" s="13">
        <f t="shared" si="5"/>
        <v>20</v>
      </c>
      <c r="I132" s="13" t="s">
        <v>37</v>
      </c>
      <c r="J132" s="13" t="s">
        <v>90</v>
      </c>
      <c r="K132" s="15">
        <f t="shared" si="2"/>
        <v>1</v>
      </c>
    </row>
    <row r="133" ht="15.75" customHeight="1">
      <c r="A133" s="14">
        <v>45664.0</v>
      </c>
      <c r="B133" s="8" t="str">
        <f t="shared" si="1"/>
        <v>Jan-25</v>
      </c>
      <c r="D133" s="12" t="s">
        <v>31</v>
      </c>
      <c r="E133" s="13">
        <v>20.0</v>
      </c>
      <c r="H133" s="13">
        <f t="shared" si="5"/>
        <v>20</v>
      </c>
      <c r="I133" s="13" t="s">
        <v>37</v>
      </c>
      <c r="J133" s="13" t="s">
        <v>90</v>
      </c>
      <c r="K133" s="15">
        <f t="shared" si="2"/>
        <v>1</v>
      </c>
    </row>
    <row r="134" ht="15.75" customHeight="1">
      <c r="A134" s="14">
        <v>45664.0</v>
      </c>
      <c r="B134" s="8" t="str">
        <f t="shared" si="1"/>
        <v>Jan-25</v>
      </c>
      <c r="C134" s="13" t="s">
        <v>40</v>
      </c>
      <c r="D134" s="12" t="s">
        <v>14</v>
      </c>
      <c r="E134" s="13">
        <v>85.0</v>
      </c>
      <c r="F134" s="13">
        <v>8.0</v>
      </c>
      <c r="H134" s="13">
        <f t="shared" si="5"/>
        <v>93</v>
      </c>
      <c r="I134" s="13" t="s">
        <v>22</v>
      </c>
      <c r="K134" s="15">
        <f t="shared" si="2"/>
        <v>0.9139784946</v>
      </c>
    </row>
    <row r="135" ht="15.75" customHeight="1">
      <c r="A135" s="14">
        <v>45664.0</v>
      </c>
      <c r="B135" s="8" t="str">
        <f t="shared" si="1"/>
        <v>Jan-25</v>
      </c>
      <c r="D135" s="12" t="s">
        <v>17</v>
      </c>
      <c r="E135" s="13">
        <v>16.0</v>
      </c>
      <c r="H135" s="13">
        <f t="shared" si="5"/>
        <v>16</v>
      </c>
      <c r="I135" s="13" t="s">
        <v>46</v>
      </c>
      <c r="K135" s="15">
        <f t="shared" si="2"/>
        <v>1</v>
      </c>
    </row>
    <row r="136" ht="15.75" customHeight="1">
      <c r="A136" s="14">
        <v>45665.0</v>
      </c>
      <c r="B136" s="8" t="str">
        <f t="shared" si="1"/>
        <v>Jan-25</v>
      </c>
      <c r="D136" s="12" t="s">
        <v>31</v>
      </c>
      <c r="E136" s="13">
        <v>120.0</v>
      </c>
      <c r="F136" s="13">
        <v>15.0</v>
      </c>
      <c r="H136" s="13">
        <f t="shared" si="5"/>
        <v>135</v>
      </c>
      <c r="I136" s="13" t="s">
        <v>59</v>
      </c>
      <c r="K136" s="15">
        <f t="shared" si="2"/>
        <v>0.8888888889</v>
      </c>
    </row>
    <row r="137" ht="15.75" customHeight="1">
      <c r="A137" s="14">
        <v>45665.0</v>
      </c>
      <c r="B137" s="8" t="str">
        <f t="shared" si="1"/>
        <v>Jan-25</v>
      </c>
      <c r="D137" s="12" t="s">
        <v>17</v>
      </c>
      <c r="E137" s="13">
        <v>121.0</v>
      </c>
      <c r="F137" s="13">
        <v>2.0</v>
      </c>
      <c r="H137" s="13">
        <f t="shared" si="5"/>
        <v>123</v>
      </c>
      <c r="I137" s="13" t="s">
        <v>22</v>
      </c>
      <c r="K137" s="15">
        <f t="shared" si="2"/>
        <v>0.9837398374</v>
      </c>
    </row>
    <row r="138" ht="15.75" customHeight="1">
      <c r="A138" s="14">
        <v>45665.0</v>
      </c>
      <c r="B138" s="8" t="str">
        <f t="shared" si="1"/>
        <v>Jan-25</v>
      </c>
      <c r="D138" s="12" t="s">
        <v>31</v>
      </c>
      <c r="E138" s="13">
        <v>100.0</v>
      </c>
      <c r="F138" s="13">
        <v>18.0</v>
      </c>
      <c r="H138" s="13">
        <f t="shared" si="5"/>
        <v>118</v>
      </c>
      <c r="I138" s="13" t="s">
        <v>46</v>
      </c>
      <c r="K138" s="15">
        <f t="shared" si="2"/>
        <v>0.8474576271</v>
      </c>
    </row>
    <row r="139" ht="15.75" customHeight="1">
      <c r="A139" s="14">
        <v>45665.0</v>
      </c>
      <c r="B139" s="8" t="str">
        <f t="shared" si="1"/>
        <v>Jan-25</v>
      </c>
      <c r="D139" s="12" t="s">
        <v>15</v>
      </c>
      <c r="E139" s="13">
        <v>35.0</v>
      </c>
      <c r="F139" s="13">
        <v>5.0</v>
      </c>
      <c r="H139" s="8">
        <f t="shared" si="5"/>
        <v>40</v>
      </c>
      <c r="I139" s="13" t="s">
        <v>58</v>
      </c>
      <c r="K139" s="15">
        <f t="shared" si="2"/>
        <v>0.875</v>
      </c>
    </row>
    <row r="140" ht="15.75" customHeight="1">
      <c r="A140" s="14">
        <v>45665.0</v>
      </c>
      <c r="B140" s="8" t="str">
        <f t="shared" si="1"/>
        <v>Jan-25</v>
      </c>
      <c r="D140" s="12" t="s">
        <v>31</v>
      </c>
      <c r="E140" s="13">
        <v>100.0</v>
      </c>
      <c r="F140" s="13">
        <v>17.0</v>
      </c>
      <c r="H140" s="13">
        <f t="shared" si="5"/>
        <v>117</v>
      </c>
      <c r="I140" s="13" t="s">
        <v>37</v>
      </c>
      <c r="K140" s="15">
        <f t="shared" si="2"/>
        <v>0.8547008547</v>
      </c>
    </row>
    <row r="141" ht="15.75" customHeight="1">
      <c r="A141" s="14">
        <v>45666.0</v>
      </c>
      <c r="B141" s="8" t="str">
        <f t="shared" si="1"/>
        <v>Jan-25</v>
      </c>
      <c r="D141" s="12" t="s">
        <v>15</v>
      </c>
      <c r="E141" s="13">
        <v>50.0</v>
      </c>
      <c r="F141" s="13">
        <v>7.0</v>
      </c>
      <c r="H141" s="8">
        <f t="shared" si="5"/>
        <v>57</v>
      </c>
      <c r="I141" s="13" t="s">
        <v>58</v>
      </c>
      <c r="K141" s="15">
        <f t="shared" si="2"/>
        <v>0.8771929825</v>
      </c>
    </row>
    <row r="142" ht="15.75" customHeight="1">
      <c r="A142" s="14">
        <v>45666.0</v>
      </c>
      <c r="B142" s="8" t="str">
        <f t="shared" si="1"/>
        <v>Jan-25</v>
      </c>
      <c r="D142" s="12" t="s">
        <v>15</v>
      </c>
      <c r="E142" s="13">
        <v>43.0</v>
      </c>
      <c r="F142" s="13">
        <v>9.0</v>
      </c>
      <c r="H142" s="13">
        <f t="shared" si="5"/>
        <v>52</v>
      </c>
      <c r="I142" s="13" t="s">
        <v>59</v>
      </c>
      <c r="K142" s="15">
        <f t="shared" si="2"/>
        <v>0.8269230769</v>
      </c>
    </row>
    <row r="143" ht="15.75" customHeight="1">
      <c r="A143" s="14">
        <v>45666.0</v>
      </c>
      <c r="B143" s="8" t="str">
        <f t="shared" si="1"/>
        <v>Jan-25</v>
      </c>
      <c r="D143" s="12" t="s">
        <v>15</v>
      </c>
      <c r="E143" s="13">
        <v>70.0</v>
      </c>
      <c r="F143" s="13">
        <v>15.0</v>
      </c>
      <c r="H143" s="13">
        <f t="shared" si="5"/>
        <v>85</v>
      </c>
      <c r="I143" s="13" t="s">
        <v>59</v>
      </c>
      <c r="K143" s="15">
        <f t="shared" si="2"/>
        <v>0.8235294118</v>
      </c>
    </row>
    <row r="144" ht="15.75" customHeight="1">
      <c r="A144" s="14">
        <v>45666.0</v>
      </c>
      <c r="B144" s="8" t="str">
        <f t="shared" si="1"/>
        <v>Jan-25</v>
      </c>
      <c r="D144" s="12" t="s">
        <v>15</v>
      </c>
      <c r="E144" s="13">
        <v>40.0</v>
      </c>
      <c r="F144" s="13">
        <v>8.0</v>
      </c>
      <c r="H144" s="13">
        <f t="shared" si="5"/>
        <v>48</v>
      </c>
      <c r="I144" s="13" t="s">
        <v>37</v>
      </c>
      <c r="K144" s="15">
        <f t="shared" si="2"/>
        <v>0.8333333333</v>
      </c>
    </row>
    <row r="145" ht="15.75" customHeight="1">
      <c r="A145" s="14">
        <v>45666.0</v>
      </c>
      <c r="B145" s="8" t="str">
        <f t="shared" si="1"/>
        <v>Jan-25</v>
      </c>
      <c r="D145" s="12" t="s">
        <v>31</v>
      </c>
      <c r="E145" s="13">
        <v>33.0</v>
      </c>
      <c r="F145" s="13">
        <v>5.0</v>
      </c>
      <c r="H145" s="13">
        <f t="shared" si="5"/>
        <v>38</v>
      </c>
      <c r="I145" s="13" t="s">
        <v>37</v>
      </c>
      <c r="K145" s="15">
        <f t="shared" si="2"/>
        <v>0.8684210526</v>
      </c>
    </row>
    <row r="146" ht="15.75" customHeight="1">
      <c r="A146" s="14">
        <v>45666.0</v>
      </c>
      <c r="B146" s="8" t="str">
        <f t="shared" si="1"/>
        <v>Jan-25</v>
      </c>
      <c r="D146" s="12" t="s">
        <v>17</v>
      </c>
      <c r="E146" s="13">
        <v>110.0</v>
      </c>
      <c r="F146" s="13">
        <v>2.0</v>
      </c>
      <c r="H146" s="13">
        <f t="shared" si="5"/>
        <v>112</v>
      </c>
      <c r="I146" s="13" t="s">
        <v>22</v>
      </c>
      <c r="K146" s="15">
        <f t="shared" si="2"/>
        <v>0.9821428571</v>
      </c>
    </row>
    <row r="147" ht="15.75" customHeight="1">
      <c r="A147" s="14">
        <v>45666.0</v>
      </c>
      <c r="B147" s="8" t="str">
        <f t="shared" si="1"/>
        <v>Jan-25</v>
      </c>
      <c r="D147" s="12" t="s">
        <v>31</v>
      </c>
      <c r="E147" s="13">
        <v>75.0</v>
      </c>
      <c r="F147" s="13">
        <v>12.0</v>
      </c>
      <c r="H147" s="13">
        <f t="shared" si="5"/>
        <v>87</v>
      </c>
      <c r="I147" s="13" t="s">
        <v>46</v>
      </c>
      <c r="K147" s="15">
        <f t="shared" si="2"/>
        <v>0.8620689655</v>
      </c>
    </row>
    <row r="148" ht="15.75" customHeight="1">
      <c r="A148" s="14">
        <v>45667.0</v>
      </c>
      <c r="B148" s="8" t="str">
        <f t="shared" si="1"/>
        <v>Jan-25</v>
      </c>
      <c r="D148" s="12" t="s">
        <v>14</v>
      </c>
      <c r="E148" s="13">
        <v>53.0</v>
      </c>
      <c r="F148" s="13">
        <v>22.0</v>
      </c>
      <c r="H148" s="13">
        <f t="shared" si="5"/>
        <v>75</v>
      </c>
      <c r="I148" s="13" t="s">
        <v>46</v>
      </c>
      <c r="K148" s="15">
        <f t="shared" si="2"/>
        <v>0.7066666667</v>
      </c>
    </row>
    <row r="149" ht="15.75" customHeight="1">
      <c r="A149" s="14">
        <v>45667.0</v>
      </c>
      <c r="B149" s="8" t="str">
        <f t="shared" si="1"/>
        <v>Jan-25</v>
      </c>
      <c r="D149" s="12" t="s">
        <v>15</v>
      </c>
      <c r="E149" s="13">
        <v>80.0</v>
      </c>
      <c r="F149" s="13">
        <v>15.0</v>
      </c>
      <c r="H149" s="13">
        <f t="shared" si="5"/>
        <v>95</v>
      </c>
      <c r="I149" s="13" t="s">
        <v>37</v>
      </c>
      <c r="K149" s="15">
        <f t="shared" si="2"/>
        <v>0.8421052632</v>
      </c>
    </row>
    <row r="150" ht="15.75" customHeight="1">
      <c r="A150" s="14">
        <v>45667.0</v>
      </c>
      <c r="B150" s="8" t="str">
        <f t="shared" si="1"/>
        <v>Jan-25</v>
      </c>
      <c r="D150" s="12" t="s">
        <v>14</v>
      </c>
      <c r="E150" s="13">
        <v>52.0</v>
      </c>
      <c r="F150" s="13">
        <v>20.0</v>
      </c>
      <c r="H150" s="8">
        <f t="shared" si="5"/>
        <v>72</v>
      </c>
      <c r="I150" s="13" t="s">
        <v>58</v>
      </c>
      <c r="K150" s="15">
        <f t="shared" si="2"/>
        <v>0.7222222222</v>
      </c>
    </row>
    <row r="151" ht="15.75" customHeight="1">
      <c r="A151" s="14">
        <v>45668.0</v>
      </c>
      <c r="B151" s="8" t="str">
        <f t="shared" si="1"/>
        <v>Jan-25</v>
      </c>
      <c r="D151" s="12" t="s">
        <v>14</v>
      </c>
      <c r="E151" s="13">
        <v>40.0</v>
      </c>
      <c r="F151" s="13">
        <v>12.0</v>
      </c>
      <c r="H151" s="13">
        <f t="shared" si="5"/>
        <v>52</v>
      </c>
      <c r="I151" s="13" t="s">
        <v>46</v>
      </c>
      <c r="K151" s="15">
        <f t="shared" si="2"/>
        <v>0.7692307692</v>
      </c>
    </row>
    <row r="152" ht="15.75" customHeight="1">
      <c r="A152" s="14">
        <v>45668.0</v>
      </c>
      <c r="B152" s="8" t="str">
        <f t="shared" si="1"/>
        <v>Jan-25</v>
      </c>
      <c r="D152" s="12" t="s">
        <v>15</v>
      </c>
      <c r="E152" s="13">
        <v>65.0</v>
      </c>
      <c r="F152" s="13">
        <v>12.0</v>
      </c>
      <c r="H152" s="13">
        <f t="shared" si="5"/>
        <v>77</v>
      </c>
      <c r="I152" s="13" t="s">
        <v>37</v>
      </c>
      <c r="K152" s="15">
        <f t="shared" si="2"/>
        <v>0.8441558442</v>
      </c>
    </row>
    <row r="153" ht="15.75" customHeight="1">
      <c r="A153" s="14">
        <v>45668.0</v>
      </c>
      <c r="B153" s="8" t="str">
        <f t="shared" si="1"/>
        <v>Jan-25</v>
      </c>
      <c r="D153" s="12" t="s">
        <v>14</v>
      </c>
      <c r="E153" s="13">
        <v>49.0</v>
      </c>
      <c r="F153" s="13">
        <v>2.0</v>
      </c>
      <c r="H153" s="8">
        <f t="shared" si="5"/>
        <v>51</v>
      </c>
      <c r="I153" s="13" t="s">
        <v>58</v>
      </c>
      <c r="K153" s="15">
        <f t="shared" si="2"/>
        <v>0.9607843137</v>
      </c>
    </row>
    <row r="154" ht="15.75" customHeight="1">
      <c r="A154" s="14">
        <v>45670.0</v>
      </c>
      <c r="B154" s="8" t="str">
        <f t="shared" si="1"/>
        <v>Jan-25</v>
      </c>
      <c r="D154" s="12" t="s">
        <v>15</v>
      </c>
      <c r="E154" s="13">
        <v>90.0</v>
      </c>
      <c r="F154" s="13">
        <v>15.0</v>
      </c>
      <c r="H154" s="13">
        <f t="shared" si="5"/>
        <v>105</v>
      </c>
      <c r="I154" s="13" t="s">
        <v>37</v>
      </c>
      <c r="K154" s="15">
        <f t="shared" si="2"/>
        <v>0.8571428571</v>
      </c>
    </row>
    <row r="155" ht="15.75" customHeight="1">
      <c r="A155" s="14">
        <v>45671.0</v>
      </c>
      <c r="B155" s="8" t="str">
        <f t="shared" si="1"/>
        <v>Jan-25</v>
      </c>
      <c r="C155" s="13">
        <v>77.0</v>
      </c>
      <c r="D155" s="12" t="s">
        <v>14</v>
      </c>
      <c r="E155" s="13">
        <v>50.0</v>
      </c>
      <c r="F155" s="13">
        <v>2.0</v>
      </c>
      <c r="H155" s="13">
        <f t="shared" si="5"/>
        <v>52</v>
      </c>
      <c r="I155" s="13" t="s">
        <v>37</v>
      </c>
      <c r="K155" s="15">
        <f t="shared" si="2"/>
        <v>0.9615384615</v>
      </c>
    </row>
    <row r="156" ht="15.75" customHeight="1">
      <c r="A156" s="14">
        <v>45671.0</v>
      </c>
      <c r="B156" s="8" t="str">
        <f t="shared" si="1"/>
        <v>Jan-25</v>
      </c>
      <c r="D156" s="12" t="s">
        <v>11</v>
      </c>
      <c r="E156" s="13">
        <v>25.0</v>
      </c>
      <c r="F156" s="13">
        <v>3.0</v>
      </c>
      <c r="H156" s="8">
        <f t="shared" si="5"/>
        <v>28</v>
      </c>
      <c r="I156" s="13" t="s">
        <v>58</v>
      </c>
      <c r="K156" s="15">
        <f t="shared" si="2"/>
        <v>0.8928571429</v>
      </c>
    </row>
    <row r="157" ht="15.75" customHeight="1">
      <c r="A157" s="14">
        <v>45672.0</v>
      </c>
      <c r="B157" s="8" t="str">
        <f t="shared" si="1"/>
        <v>Jan-25</v>
      </c>
      <c r="D157" s="12" t="s">
        <v>11</v>
      </c>
      <c r="E157" s="13">
        <v>140.0</v>
      </c>
      <c r="F157" s="13">
        <v>5.0</v>
      </c>
      <c r="H157" s="8">
        <f t="shared" si="5"/>
        <v>145</v>
      </c>
      <c r="I157" s="13" t="s">
        <v>58</v>
      </c>
      <c r="K157" s="15">
        <f t="shared" si="2"/>
        <v>0.9655172414</v>
      </c>
    </row>
    <row r="158" ht="15.75" customHeight="1">
      <c r="A158" s="14">
        <v>45672.0</v>
      </c>
      <c r="B158" s="8" t="str">
        <f t="shared" si="1"/>
        <v>Jan-25</v>
      </c>
      <c r="D158" s="12" t="s">
        <v>14</v>
      </c>
      <c r="E158" s="13">
        <v>60.0</v>
      </c>
      <c r="F158" s="13">
        <v>8.0</v>
      </c>
      <c r="H158" s="13">
        <f t="shared" si="5"/>
        <v>68</v>
      </c>
      <c r="I158" s="13" t="s">
        <v>59</v>
      </c>
      <c r="K158" s="15">
        <f t="shared" si="2"/>
        <v>0.8823529412</v>
      </c>
    </row>
    <row r="159" ht="15.75" customHeight="1">
      <c r="A159" s="14">
        <v>45672.0</v>
      </c>
      <c r="B159" s="8" t="str">
        <f t="shared" si="1"/>
        <v>Jan-25</v>
      </c>
      <c r="C159" s="13">
        <v>77.0</v>
      </c>
      <c r="D159" s="12" t="s">
        <v>14</v>
      </c>
      <c r="E159" s="13">
        <v>65.0</v>
      </c>
      <c r="F159" s="13">
        <v>5.0</v>
      </c>
      <c r="H159" s="13">
        <f t="shared" si="5"/>
        <v>70</v>
      </c>
      <c r="I159" s="13" t="s">
        <v>37</v>
      </c>
      <c r="K159" s="15">
        <f t="shared" si="2"/>
        <v>0.9285714286</v>
      </c>
    </row>
    <row r="160" ht="15.75" customHeight="1">
      <c r="A160" s="14">
        <v>45673.0</v>
      </c>
      <c r="B160" s="8" t="str">
        <f t="shared" si="1"/>
        <v>Jan-25</v>
      </c>
      <c r="D160" s="12" t="s">
        <v>14</v>
      </c>
      <c r="E160" s="13">
        <v>50.0</v>
      </c>
      <c r="F160" s="13">
        <v>6.0</v>
      </c>
      <c r="H160" s="13">
        <f t="shared" si="5"/>
        <v>56</v>
      </c>
      <c r="I160" s="13" t="s">
        <v>59</v>
      </c>
      <c r="K160" s="15">
        <f t="shared" si="2"/>
        <v>0.8928571429</v>
      </c>
    </row>
    <row r="161" ht="15.75" customHeight="1">
      <c r="A161" s="14">
        <v>45673.0</v>
      </c>
      <c r="B161" s="8" t="str">
        <f t="shared" si="1"/>
        <v>Jan-25</v>
      </c>
      <c r="D161" s="12" t="s">
        <v>15</v>
      </c>
      <c r="E161" s="13">
        <v>70.0</v>
      </c>
      <c r="F161" s="13">
        <v>7.0</v>
      </c>
      <c r="H161" s="13">
        <f t="shared" si="5"/>
        <v>77</v>
      </c>
      <c r="I161" s="13" t="s">
        <v>59</v>
      </c>
      <c r="K161" s="15">
        <f t="shared" si="2"/>
        <v>0.9090909091</v>
      </c>
    </row>
    <row r="162" ht="15.75" customHeight="1">
      <c r="A162" s="14">
        <v>45673.0</v>
      </c>
      <c r="B162" s="8" t="str">
        <f t="shared" si="1"/>
        <v>Jan-25</v>
      </c>
      <c r="D162" s="12" t="s">
        <v>14</v>
      </c>
      <c r="E162" s="13">
        <v>68.0</v>
      </c>
      <c r="H162" s="13">
        <f t="shared" si="5"/>
        <v>68</v>
      </c>
      <c r="I162" s="13" t="s">
        <v>46</v>
      </c>
      <c r="J162" s="13" t="s">
        <v>91</v>
      </c>
      <c r="K162" s="15">
        <f t="shared" si="2"/>
        <v>1</v>
      </c>
    </row>
    <row r="163" ht="15.75" customHeight="1">
      <c r="A163" s="14">
        <v>45673.0</v>
      </c>
      <c r="B163" s="8" t="str">
        <f t="shared" si="1"/>
        <v>Jan-25</v>
      </c>
      <c r="D163" s="12" t="s">
        <v>11</v>
      </c>
      <c r="E163" s="13">
        <v>5.0</v>
      </c>
      <c r="H163" s="13">
        <f t="shared" si="5"/>
        <v>5</v>
      </c>
      <c r="I163" s="13" t="s">
        <v>46</v>
      </c>
      <c r="J163" s="13" t="s">
        <v>91</v>
      </c>
      <c r="K163" s="15">
        <f t="shared" si="2"/>
        <v>1</v>
      </c>
    </row>
    <row r="164" ht="15.75" customHeight="1">
      <c r="A164" s="14">
        <v>45673.0</v>
      </c>
      <c r="B164" s="8" t="str">
        <f t="shared" si="1"/>
        <v>Jan-25</v>
      </c>
      <c r="D164" s="12" t="s">
        <v>11</v>
      </c>
      <c r="E164" s="13">
        <v>92.0</v>
      </c>
      <c r="F164" s="13">
        <v>2.0</v>
      </c>
      <c r="H164" s="8">
        <f t="shared" si="5"/>
        <v>94</v>
      </c>
      <c r="I164" s="13" t="s">
        <v>58</v>
      </c>
      <c r="K164" s="15">
        <f t="shared" si="2"/>
        <v>0.9787234043</v>
      </c>
    </row>
    <row r="165" ht="15.75" customHeight="1">
      <c r="A165" s="14">
        <v>45673.0</v>
      </c>
      <c r="B165" s="8" t="str">
        <f t="shared" si="1"/>
        <v>Jan-25</v>
      </c>
      <c r="D165" s="12" t="s">
        <v>14</v>
      </c>
      <c r="E165" s="13">
        <v>50.0</v>
      </c>
      <c r="F165" s="13">
        <v>5.0</v>
      </c>
      <c r="H165" s="13">
        <f t="shared" si="5"/>
        <v>55</v>
      </c>
      <c r="I165" s="13" t="s">
        <v>37</v>
      </c>
      <c r="K165" s="15">
        <f t="shared" si="2"/>
        <v>0.9090909091</v>
      </c>
    </row>
    <row r="166" ht="15.75" customHeight="1">
      <c r="A166" s="14">
        <v>45673.0</v>
      </c>
      <c r="B166" s="8" t="str">
        <f t="shared" si="1"/>
        <v>Jan-25</v>
      </c>
      <c r="D166" s="12" t="s">
        <v>15</v>
      </c>
      <c r="E166" s="13">
        <v>65.0</v>
      </c>
      <c r="F166" s="13">
        <v>8.0</v>
      </c>
      <c r="H166" s="13">
        <f t="shared" si="5"/>
        <v>73</v>
      </c>
      <c r="I166" s="13" t="s">
        <v>37</v>
      </c>
      <c r="K166" s="15">
        <f t="shared" si="2"/>
        <v>0.8904109589</v>
      </c>
    </row>
    <row r="167" ht="15.75" customHeight="1">
      <c r="A167" s="14">
        <v>45674.0</v>
      </c>
      <c r="B167" s="8" t="str">
        <f t="shared" si="1"/>
        <v>Jan-25</v>
      </c>
      <c r="D167" s="12" t="s">
        <v>15</v>
      </c>
      <c r="E167" s="13">
        <v>90.0</v>
      </c>
      <c r="F167" s="13">
        <v>11.0</v>
      </c>
      <c r="H167" s="13">
        <f t="shared" si="5"/>
        <v>101</v>
      </c>
      <c r="I167" s="13" t="s">
        <v>59</v>
      </c>
      <c r="K167" s="15">
        <f t="shared" si="2"/>
        <v>0.8910891089</v>
      </c>
    </row>
    <row r="168" ht="15.75" customHeight="1">
      <c r="A168" s="14">
        <v>45674.0</v>
      </c>
      <c r="B168" s="8" t="str">
        <f t="shared" si="1"/>
        <v>Jan-25</v>
      </c>
      <c r="D168" s="12" t="s">
        <v>15</v>
      </c>
      <c r="E168" s="13">
        <v>95.0</v>
      </c>
      <c r="F168" s="13">
        <v>15.0</v>
      </c>
      <c r="H168" s="13">
        <f t="shared" si="5"/>
        <v>110</v>
      </c>
      <c r="I168" s="13" t="s">
        <v>37</v>
      </c>
      <c r="K168" s="15">
        <f t="shared" si="2"/>
        <v>0.8636363636</v>
      </c>
    </row>
    <row r="169" ht="15.75" customHeight="1">
      <c r="A169" s="14">
        <v>45674.0</v>
      </c>
      <c r="B169" s="8" t="str">
        <f t="shared" si="1"/>
        <v>Jan-25</v>
      </c>
      <c r="D169" s="12" t="s">
        <v>15</v>
      </c>
      <c r="E169" s="13">
        <v>69.0</v>
      </c>
      <c r="H169" s="13">
        <f t="shared" si="5"/>
        <v>69</v>
      </c>
      <c r="I169" s="13" t="s">
        <v>22</v>
      </c>
      <c r="J169" s="13" t="s">
        <v>91</v>
      </c>
      <c r="K169" s="15">
        <f t="shared" si="2"/>
        <v>1</v>
      </c>
    </row>
    <row r="170" ht="15.75" customHeight="1">
      <c r="A170" s="14">
        <v>45675.0</v>
      </c>
      <c r="B170" s="8" t="str">
        <f t="shared" si="1"/>
        <v>Jan-25</v>
      </c>
      <c r="D170" s="12" t="s">
        <v>17</v>
      </c>
      <c r="E170" s="13">
        <v>60.0</v>
      </c>
      <c r="F170" s="13">
        <v>1.0</v>
      </c>
      <c r="H170" s="13">
        <f t="shared" si="5"/>
        <v>61</v>
      </c>
      <c r="I170" s="13" t="s">
        <v>59</v>
      </c>
      <c r="K170" s="15">
        <f t="shared" si="2"/>
        <v>0.9836065574</v>
      </c>
    </row>
    <row r="171" ht="15.75" customHeight="1">
      <c r="A171" s="14">
        <v>45675.0</v>
      </c>
      <c r="B171" s="8" t="str">
        <f t="shared" si="1"/>
        <v>Jan-25</v>
      </c>
      <c r="D171" s="12" t="s">
        <v>17</v>
      </c>
      <c r="E171" s="13">
        <v>67.0</v>
      </c>
      <c r="F171" s="13">
        <v>5.0</v>
      </c>
      <c r="H171" s="8">
        <f t="shared" si="5"/>
        <v>72</v>
      </c>
      <c r="I171" s="13" t="s">
        <v>58</v>
      </c>
      <c r="K171" s="15">
        <f t="shared" si="2"/>
        <v>0.9305555556</v>
      </c>
    </row>
    <row r="172" ht="15.75" customHeight="1">
      <c r="A172" s="14">
        <v>45677.0</v>
      </c>
      <c r="B172" s="8" t="str">
        <f t="shared" si="1"/>
        <v>Jan-25</v>
      </c>
      <c r="D172" s="12" t="s">
        <v>17</v>
      </c>
      <c r="E172" s="13">
        <v>120.0</v>
      </c>
      <c r="F172" s="13">
        <v>9.0</v>
      </c>
      <c r="H172" s="13">
        <f t="shared" si="5"/>
        <v>129</v>
      </c>
      <c r="I172" s="13" t="s">
        <v>59</v>
      </c>
      <c r="K172" s="15">
        <f t="shared" si="2"/>
        <v>0.9302325581</v>
      </c>
    </row>
    <row r="173" ht="15.75" customHeight="1">
      <c r="A173" s="14">
        <v>45677.0</v>
      </c>
      <c r="B173" s="8" t="str">
        <f t="shared" si="1"/>
        <v>Jan-25</v>
      </c>
      <c r="D173" s="12" t="s">
        <v>17</v>
      </c>
      <c r="E173" s="13">
        <v>95.0</v>
      </c>
      <c r="F173" s="13">
        <v>10.0</v>
      </c>
      <c r="H173" s="13">
        <f t="shared" si="5"/>
        <v>105</v>
      </c>
      <c r="I173" s="13" t="s">
        <v>46</v>
      </c>
      <c r="K173" s="15">
        <f t="shared" si="2"/>
        <v>0.9047619048</v>
      </c>
    </row>
    <row r="174" ht="15.75" customHeight="1">
      <c r="A174" s="14">
        <v>45677.0</v>
      </c>
      <c r="B174" s="8" t="str">
        <f t="shared" si="1"/>
        <v>Jan-25</v>
      </c>
      <c r="D174" s="12" t="s">
        <v>17</v>
      </c>
      <c r="E174" s="13">
        <v>100.0</v>
      </c>
      <c r="F174" s="13">
        <v>7.0</v>
      </c>
      <c r="H174" s="8">
        <f t="shared" si="5"/>
        <v>107</v>
      </c>
      <c r="I174" s="13" t="s">
        <v>58</v>
      </c>
      <c r="K174" s="15">
        <f t="shared" si="2"/>
        <v>0.9345794393</v>
      </c>
    </row>
    <row r="175" ht="15.75" customHeight="1">
      <c r="A175" s="14">
        <v>45678.0</v>
      </c>
      <c r="B175" s="8" t="str">
        <f t="shared" si="1"/>
        <v>Jan-25</v>
      </c>
      <c r="D175" s="12" t="s">
        <v>11</v>
      </c>
      <c r="E175" s="13">
        <v>15.0</v>
      </c>
      <c r="F175" s="13">
        <v>0.0</v>
      </c>
      <c r="H175" s="13">
        <f t="shared" si="5"/>
        <v>15</v>
      </c>
      <c r="I175" s="13" t="s">
        <v>59</v>
      </c>
      <c r="K175" s="15">
        <f t="shared" si="2"/>
        <v>1</v>
      </c>
    </row>
    <row r="176" ht="15.75" customHeight="1">
      <c r="A176" s="14">
        <v>45678.0</v>
      </c>
      <c r="B176" s="8" t="str">
        <f t="shared" si="1"/>
        <v>Jan-25</v>
      </c>
      <c r="D176" s="12" t="s">
        <v>14</v>
      </c>
      <c r="E176" s="13">
        <v>40.0</v>
      </c>
      <c r="F176" s="13">
        <v>3.0</v>
      </c>
      <c r="H176" s="13">
        <f t="shared" si="5"/>
        <v>43</v>
      </c>
      <c r="I176" s="13" t="s">
        <v>59</v>
      </c>
      <c r="K176" s="15">
        <f t="shared" si="2"/>
        <v>0.9302325581</v>
      </c>
    </row>
    <row r="177" ht="15.75" customHeight="1">
      <c r="A177" s="14">
        <v>45678.0</v>
      </c>
      <c r="B177" s="8" t="str">
        <f t="shared" si="1"/>
        <v>Jan-25</v>
      </c>
      <c r="D177" s="12" t="s">
        <v>11</v>
      </c>
      <c r="E177" s="13">
        <v>25.0</v>
      </c>
      <c r="F177" s="13">
        <v>5.0</v>
      </c>
      <c r="H177" s="13">
        <f t="shared" si="5"/>
        <v>30</v>
      </c>
      <c r="I177" s="13" t="s">
        <v>22</v>
      </c>
      <c r="K177" s="15">
        <f t="shared" si="2"/>
        <v>0.8333333333</v>
      </c>
    </row>
    <row r="178" ht="15.75" customHeight="1">
      <c r="A178" s="14">
        <v>45678.0</v>
      </c>
      <c r="B178" s="8" t="str">
        <f t="shared" si="1"/>
        <v>Jan-25</v>
      </c>
      <c r="D178" s="12" t="s">
        <v>14</v>
      </c>
      <c r="E178" s="13">
        <v>35.0</v>
      </c>
      <c r="F178" s="13">
        <v>10.0</v>
      </c>
      <c r="H178" s="13">
        <f t="shared" si="5"/>
        <v>45</v>
      </c>
      <c r="I178" s="13" t="s">
        <v>22</v>
      </c>
      <c r="K178" s="15">
        <f t="shared" si="2"/>
        <v>0.7777777778</v>
      </c>
    </row>
    <row r="179" ht="15.75" customHeight="1">
      <c r="A179" s="14">
        <v>45679.0</v>
      </c>
      <c r="B179" s="8" t="str">
        <f t="shared" si="1"/>
        <v>Jan-25</v>
      </c>
      <c r="D179" s="12" t="s">
        <v>14</v>
      </c>
      <c r="E179" s="13">
        <v>62.0</v>
      </c>
      <c r="F179" s="13">
        <v>4.0</v>
      </c>
      <c r="H179" s="13">
        <f t="shared" si="5"/>
        <v>66</v>
      </c>
      <c r="I179" s="13" t="s">
        <v>59</v>
      </c>
      <c r="K179" s="15">
        <f t="shared" si="2"/>
        <v>0.9393939394</v>
      </c>
    </row>
    <row r="180" ht="15.75" customHeight="1">
      <c r="A180" s="14">
        <v>45679.0</v>
      </c>
      <c r="B180" s="8" t="str">
        <f t="shared" si="1"/>
        <v>Jan-25</v>
      </c>
      <c r="C180" s="13">
        <v>78.0</v>
      </c>
      <c r="D180" s="12" t="s">
        <v>14</v>
      </c>
      <c r="E180" s="13">
        <v>90.0</v>
      </c>
      <c r="F180" s="13">
        <v>8.0</v>
      </c>
      <c r="H180" s="13">
        <f t="shared" si="5"/>
        <v>98</v>
      </c>
      <c r="I180" s="13" t="s">
        <v>37</v>
      </c>
      <c r="K180" s="15">
        <f t="shared" si="2"/>
        <v>0.9183673469</v>
      </c>
    </row>
    <row r="181" ht="15.75" customHeight="1">
      <c r="A181" s="14">
        <v>45679.0</v>
      </c>
      <c r="B181" s="8" t="str">
        <f t="shared" si="1"/>
        <v>Jan-25</v>
      </c>
      <c r="C181" s="13">
        <v>78.0</v>
      </c>
      <c r="D181" s="12" t="s">
        <v>11</v>
      </c>
      <c r="E181" s="13">
        <v>20.0</v>
      </c>
      <c r="F181" s="13">
        <v>0.0</v>
      </c>
      <c r="H181" s="13">
        <f t="shared" si="5"/>
        <v>20</v>
      </c>
      <c r="I181" s="13" t="s">
        <v>37</v>
      </c>
      <c r="K181" s="15">
        <f t="shared" si="2"/>
        <v>1</v>
      </c>
    </row>
    <row r="182" ht="15.75" customHeight="1">
      <c r="A182" s="14">
        <v>45679.0</v>
      </c>
      <c r="B182" s="8" t="str">
        <f t="shared" si="1"/>
        <v>Jan-25</v>
      </c>
      <c r="C182" s="13">
        <v>78.0</v>
      </c>
      <c r="D182" s="12" t="s">
        <v>14</v>
      </c>
      <c r="E182" s="13">
        <v>43.0</v>
      </c>
      <c r="F182" s="13">
        <v>1.0</v>
      </c>
      <c r="H182" s="8">
        <f t="shared" si="5"/>
        <v>44</v>
      </c>
      <c r="I182" s="13" t="s">
        <v>58</v>
      </c>
      <c r="K182" s="15">
        <f t="shared" si="2"/>
        <v>0.9772727273</v>
      </c>
    </row>
    <row r="183" ht="15.75" customHeight="1">
      <c r="A183" s="14">
        <v>45679.0</v>
      </c>
      <c r="B183" s="8" t="str">
        <f t="shared" si="1"/>
        <v>Jan-25</v>
      </c>
      <c r="C183" s="13">
        <v>78.0</v>
      </c>
      <c r="D183" s="12" t="s">
        <v>11</v>
      </c>
      <c r="E183" s="13">
        <v>29.0</v>
      </c>
      <c r="F183" s="13">
        <v>2.0</v>
      </c>
      <c r="H183" s="8">
        <f t="shared" si="5"/>
        <v>31</v>
      </c>
      <c r="I183" s="13" t="s">
        <v>58</v>
      </c>
      <c r="K183" s="15">
        <f t="shared" si="2"/>
        <v>0.935483871</v>
      </c>
    </row>
    <row r="184" ht="15.75" customHeight="1">
      <c r="A184" s="14">
        <v>45679.0</v>
      </c>
      <c r="B184" s="8" t="str">
        <f t="shared" si="1"/>
        <v>Jan-25</v>
      </c>
      <c r="C184" s="13">
        <v>78.0</v>
      </c>
      <c r="D184" s="12" t="s">
        <v>14</v>
      </c>
      <c r="E184" s="13">
        <v>57.0</v>
      </c>
      <c r="F184" s="13">
        <v>7.0</v>
      </c>
      <c r="H184" s="13">
        <f t="shared" si="5"/>
        <v>64</v>
      </c>
      <c r="I184" s="13" t="s">
        <v>46</v>
      </c>
      <c r="K184" s="15">
        <f t="shared" si="2"/>
        <v>0.890625</v>
      </c>
    </row>
    <row r="185" ht="15.75" customHeight="1">
      <c r="A185" s="14">
        <v>45679.0</v>
      </c>
      <c r="B185" s="8" t="str">
        <f t="shared" si="1"/>
        <v>Jan-25</v>
      </c>
      <c r="C185" s="13">
        <v>78.0</v>
      </c>
      <c r="D185" s="12" t="s">
        <v>14</v>
      </c>
      <c r="E185" s="13">
        <v>45.0</v>
      </c>
      <c r="F185" s="13">
        <v>3.0</v>
      </c>
      <c r="H185" s="13">
        <f t="shared" si="5"/>
        <v>48</v>
      </c>
      <c r="I185" s="13" t="s">
        <v>22</v>
      </c>
      <c r="K185" s="15">
        <f t="shared" si="2"/>
        <v>0.9375</v>
      </c>
    </row>
    <row r="186" ht="15.75" customHeight="1">
      <c r="A186" s="14">
        <v>45680.0</v>
      </c>
      <c r="B186" s="8" t="str">
        <f t="shared" si="1"/>
        <v>Jan-25</v>
      </c>
      <c r="D186" s="12" t="s">
        <v>11</v>
      </c>
      <c r="E186" s="13">
        <v>200.0</v>
      </c>
      <c r="F186" s="13">
        <v>10.0</v>
      </c>
      <c r="H186" s="13">
        <f t="shared" si="5"/>
        <v>210</v>
      </c>
      <c r="I186" s="13" t="s">
        <v>37</v>
      </c>
      <c r="K186" s="15">
        <f t="shared" si="2"/>
        <v>0.9523809524</v>
      </c>
    </row>
    <row r="187" ht="15.75" customHeight="1">
      <c r="A187" s="14">
        <v>45680.0</v>
      </c>
      <c r="B187" s="8" t="str">
        <f t="shared" si="1"/>
        <v>Jan-25</v>
      </c>
      <c r="D187" s="12" t="s">
        <v>11</v>
      </c>
      <c r="E187" s="13">
        <v>180.0</v>
      </c>
      <c r="H187" s="8">
        <f t="shared" si="5"/>
        <v>180</v>
      </c>
      <c r="I187" s="13" t="s">
        <v>58</v>
      </c>
      <c r="K187" s="15">
        <f t="shared" si="2"/>
        <v>1</v>
      </c>
    </row>
    <row r="188" ht="15.75" customHeight="1">
      <c r="A188" s="14">
        <v>45680.0</v>
      </c>
      <c r="B188" s="8" t="str">
        <f t="shared" si="1"/>
        <v>Jan-25</v>
      </c>
      <c r="D188" s="12" t="s">
        <v>11</v>
      </c>
      <c r="E188" s="13">
        <v>205.0</v>
      </c>
      <c r="F188" s="13">
        <v>13.0</v>
      </c>
      <c r="H188" s="13">
        <f t="shared" si="5"/>
        <v>218</v>
      </c>
      <c r="I188" s="13" t="s">
        <v>46</v>
      </c>
      <c r="K188" s="15">
        <f t="shared" si="2"/>
        <v>0.9403669725</v>
      </c>
    </row>
    <row r="189" ht="15.75" customHeight="1">
      <c r="A189" s="14">
        <v>45681.0</v>
      </c>
      <c r="B189" s="8" t="str">
        <f t="shared" si="1"/>
        <v>Jan-25</v>
      </c>
      <c r="D189" s="12" t="s">
        <v>11</v>
      </c>
      <c r="E189" s="13">
        <v>150.0</v>
      </c>
      <c r="F189" s="13">
        <v>2.0</v>
      </c>
      <c r="H189" s="13">
        <f t="shared" si="5"/>
        <v>152</v>
      </c>
      <c r="I189" s="13" t="s">
        <v>37</v>
      </c>
      <c r="K189" s="15">
        <f t="shared" si="2"/>
        <v>0.9868421053</v>
      </c>
    </row>
    <row r="190" ht="15.75" customHeight="1">
      <c r="A190" s="14">
        <v>45681.0</v>
      </c>
      <c r="B190" s="8" t="str">
        <f t="shared" si="1"/>
        <v>Jan-25</v>
      </c>
      <c r="C190" s="13">
        <v>78.0</v>
      </c>
      <c r="D190" s="12" t="s">
        <v>17</v>
      </c>
      <c r="E190" s="13">
        <v>130.0</v>
      </c>
      <c r="F190" s="13">
        <v>5.0</v>
      </c>
      <c r="H190" s="13">
        <f t="shared" si="5"/>
        <v>135</v>
      </c>
      <c r="I190" s="13" t="s">
        <v>22</v>
      </c>
      <c r="K190" s="15">
        <f t="shared" si="2"/>
        <v>0.962962963</v>
      </c>
    </row>
    <row r="191" ht="15.75" customHeight="1">
      <c r="A191" s="14">
        <v>45682.0</v>
      </c>
      <c r="B191" s="8" t="str">
        <f t="shared" si="1"/>
        <v>Jan-25</v>
      </c>
      <c r="C191" s="13">
        <v>78.0</v>
      </c>
      <c r="D191" s="12" t="s">
        <v>17</v>
      </c>
      <c r="E191" s="13">
        <v>140.0</v>
      </c>
      <c r="F191" s="13">
        <v>2.0</v>
      </c>
      <c r="H191" s="13">
        <f t="shared" si="5"/>
        <v>142</v>
      </c>
      <c r="I191" s="13" t="s">
        <v>37</v>
      </c>
      <c r="K191" s="15">
        <f t="shared" si="2"/>
        <v>0.985915493</v>
      </c>
    </row>
    <row r="192" ht="15.75" customHeight="1">
      <c r="A192" s="14">
        <v>45682.0</v>
      </c>
      <c r="B192" s="8" t="str">
        <f t="shared" si="1"/>
        <v>Jan-25</v>
      </c>
      <c r="C192" s="13">
        <v>78.0</v>
      </c>
      <c r="D192" s="12" t="s">
        <v>11</v>
      </c>
      <c r="E192" s="13">
        <v>28.0</v>
      </c>
      <c r="H192" s="13">
        <f t="shared" si="5"/>
        <v>28</v>
      </c>
      <c r="I192" s="13" t="s">
        <v>37</v>
      </c>
      <c r="K192" s="15">
        <f t="shared" si="2"/>
        <v>1</v>
      </c>
    </row>
    <row r="193" ht="15.75" customHeight="1">
      <c r="A193" s="14">
        <v>45682.0</v>
      </c>
      <c r="B193" s="8" t="str">
        <f t="shared" si="1"/>
        <v>Jan-25</v>
      </c>
      <c r="C193" s="13">
        <v>78.0</v>
      </c>
      <c r="D193" s="12" t="s">
        <v>14</v>
      </c>
      <c r="E193" s="13">
        <v>53.0</v>
      </c>
      <c r="H193" s="13">
        <f t="shared" si="5"/>
        <v>53</v>
      </c>
      <c r="I193" s="13" t="s">
        <v>46</v>
      </c>
      <c r="J193" s="13" t="s">
        <v>92</v>
      </c>
      <c r="K193" s="15">
        <f t="shared" si="2"/>
        <v>1</v>
      </c>
    </row>
    <row r="194" ht="15.75" customHeight="1">
      <c r="A194" s="14">
        <v>45682.0</v>
      </c>
      <c r="B194" s="8" t="str">
        <f t="shared" si="1"/>
        <v>Jan-25</v>
      </c>
      <c r="C194" s="13">
        <v>78.0</v>
      </c>
      <c r="D194" s="12" t="s">
        <v>31</v>
      </c>
      <c r="E194" s="13">
        <v>32.0</v>
      </c>
      <c r="H194" s="13">
        <f t="shared" si="5"/>
        <v>32</v>
      </c>
      <c r="I194" s="13" t="s">
        <v>46</v>
      </c>
      <c r="J194" s="13" t="s">
        <v>92</v>
      </c>
      <c r="K194" s="15">
        <f t="shared" si="2"/>
        <v>1</v>
      </c>
    </row>
    <row r="195" ht="15.75" customHeight="1">
      <c r="A195" s="14">
        <v>45682.0</v>
      </c>
      <c r="B195" s="8" t="str">
        <f t="shared" si="1"/>
        <v>Jan-25</v>
      </c>
      <c r="C195" s="13">
        <v>78.0</v>
      </c>
      <c r="D195" s="12" t="s">
        <v>17</v>
      </c>
      <c r="E195" s="13">
        <v>20.0</v>
      </c>
      <c r="H195" s="13">
        <f t="shared" si="5"/>
        <v>20</v>
      </c>
      <c r="I195" s="13" t="s">
        <v>23</v>
      </c>
      <c r="J195" s="13" t="s">
        <v>92</v>
      </c>
      <c r="K195" s="15">
        <f t="shared" si="2"/>
        <v>1</v>
      </c>
    </row>
    <row r="196" ht="15.75" customHeight="1">
      <c r="A196" s="14">
        <v>45682.0</v>
      </c>
      <c r="B196" s="8" t="str">
        <f t="shared" si="1"/>
        <v>Jan-25</v>
      </c>
      <c r="C196" s="13">
        <v>78.0</v>
      </c>
      <c r="D196" s="12" t="s">
        <v>11</v>
      </c>
      <c r="E196" s="13">
        <v>20.0</v>
      </c>
      <c r="H196" s="13">
        <f t="shared" si="5"/>
        <v>20</v>
      </c>
      <c r="I196" s="13" t="s">
        <v>23</v>
      </c>
      <c r="J196" s="13" t="s">
        <v>92</v>
      </c>
      <c r="K196" s="15">
        <f t="shared" si="2"/>
        <v>1</v>
      </c>
    </row>
    <row r="197" ht="15.75" customHeight="1">
      <c r="A197" s="14">
        <v>45682.0</v>
      </c>
      <c r="B197" s="8" t="str">
        <f t="shared" si="1"/>
        <v>Jan-25</v>
      </c>
      <c r="C197" s="13">
        <v>78.0</v>
      </c>
      <c r="D197" s="12" t="s">
        <v>17</v>
      </c>
      <c r="E197" s="13">
        <v>21.0</v>
      </c>
      <c r="F197" s="13">
        <v>2.0</v>
      </c>
      <c r="H197" s="13">
        <f t="shared" si="5"/>
        <v>23</v>
      </c>
      <c r="I197" s="13" t="s">
        <v>23</v>
      </c>
      <c r="K197" s="15">
        <f t="shared" si="2"/>
        <v>0.9130434783</v>
      </c>
    </row>
    <row r="198" ht="15.75" customHeight="1">
      <c r="A198" s="14">
        <v>45682.0</v>
      </c>
      <c r="B198" s="8" t="str">
        <f t="shared" si="1"/>
        <v>Jan-25</v>
      </c>
      <c r="C198" s="13">
        <v>78.0</v>
      </c>
      <c r="D198" s="12" t="s">
        <v>11</v>
      </c>
      <c r="E198" s="13">
        <v>21.0</v>
      </c>
      <c r="F198" s="13">
        <v>4.0</v>
      </c>
      <c r="H198" s="13">
        <f t="shared" si="5"/>
        <v>25</v>
      </c>
      <c r="I198" s="13" t="s">
        <v>22</v>
      </c>
      <c r="K198" s="15">
        <f t="shared" si="2"/>
        <v>0.84</v>
      </c>
    </row>
    <row r="199" ht="15.75" customHeight="1">
      <c r="A199" s="14">
        <v>45682.0</v>
      </c>
      <c r="B199" s="8" t="str">
        <f t="shared" si="1"/>
        <v>Jan-25</v>
      </c>
      <c r="C199" s="13">
        <v>78.0</v>
      </c>
      <c r="D199" s="12" t="s">
        <v>17</v>
      </c>
      <c r="E199" s="13">
        <v>135.0</v>
      </c>
      <c r="F199" s="13">
        <v>2.0</v>
      </c>
      <c r="H199" s="13">
        <f t="shared" si="5"/>
        <v>137</v>
      </c>
      <c r="I199" s="13" t="s">
        <v>22</v>
      </c>
      <c r="K199" s="15">
        <f t="shared" si="2"/>
        <v>0.9854014599</v>
      </c>
    </row>
    <row r="200" ht="15.75" customHeight="1">
      <c r="A200" s="14">
        <v>45684.0</v>
      </c>
      <c r="B200" s="8" t="str">
        <f t="shared" si="1"/>
        <v>Jan-25</v>
      </c>
      <c r="C200" s="13">
        <v>78.0</v>
      </c>
      <c r="D200" s="12" t="s">
        <v>17</v>
      </c>
      <c r="E200" s="13">
        <v>135.0</v>
      </c>
      <c r="F200" s="13">
        <v>4.0</v>
      </c>
      <c r="H200" s="13">
        <f t="shared" si="5"/>
        <v>139</v>
      </c>
      <c r="I200" s="13" t="s">
        <v>22</v>
      </c>
      <c r="J200" s="13" t="s">
        <v>93</v>
      </c>
      <c r="K200" s="15">
        <f t="shared" si="2"/>
        <v>0.9712230216</v>
      </c>
    </row>
    <row r="201" ht="15.75" customHeight="1">
      <c r="A201" s="14">
        <v>45684.0</v>
      </c>
      <c r="B201" s="8" t="str">
        <f t="shared" si="1"/>
        <v>Jan-25</v>
      </c>
      <c r="C201" s="13">
        <v>78.0</v>
      </c>
      <c r="D201" s="12" t="s">
        <v>17</v>
      </c>
      <c r="E201" s="13">
        <v>170.0</v>
      </c>
      <c r="F201" s="13">
        <v>5.0</v>
      </c>
      <c r="H201" s="13">
        <f t="shared" si="5"/>
        <v>175</v>
      </c>
      <c r="I201" s="13" t="s">
        <v>37</v>
      </c>
      <c r="K201" s="15">
        <f t="shared" si="2"/>
        <v>0.9714285714</v>
      </c>
    </row>
    <row r="202" ht="15.75" customHeight="1">
      <c r="A202" s="14">
        <v>45687.0</v>
      </c>
      <c r="B202" s="8" t="str">
        <f t="shared" si="1"/>
        <v>Jan-25</v>
      </c>
      <c r="C202" s="13">
        <v>79.0</v>
      </c>
      <c r="D202" s="12" t="s">
        <v>14</v>
      </c>
      <c r="E202" s="13">
        <v>78.0</v>
      </c>
      <c r="F202" s="13">
        <v>3.0</v>
      </c>
      <c r="H202" s="8">
        <f t="shared" si="5"/>
        <v>81</v>
      </c>
      <c r="I202" s="13" t="s">
        <v>58</v>
      </c>
      <c r="K202" s="15">
        <f t="shared" si="2"/>
        <v>0.962962963</v>
      </c>
    </row>
    <row r="203" ht="15.75" customHeight="1">
      <c r="A203" s="14">
        <v>45688.0</v>
      </c>
      <c r="B203" s="8" t="str">
        <f t="shared" si="1"/>
        <v>Jan-25</v>
      </c>
      <c r="C203" s="13">
        <v>79.0</v>
      </c>
      <c r="D203" s="12" t="s">
        <v>14</v>
      </c>
      <c r="E203" s="13">
        <v>115.0</v>
      </c>
      <c r="F203" s="13">
        <v>11.0</v>
      </c>
      <c r="H203" s="13">
        <f t="shared" si="5"/>
        <v>126</v>
      </c>
      <c r="I203" s="13" t="s">
        <v>37</v>
      </c>
      <c r="K203" s="15">
        <f t="shared" si="2"/>
        <v>0.9126984127</v>
      </c>
    </row>
    <row r="204" ht="15.75" customHeight="1">
      <c r="A204" s="14">
        <v>45688.0</v>
      </c>
      <c r="B204" s="8" t="str">
        <f t="shared" si="1"/>
        <v>Jan-25</v>
      </c>
      <c r="C204" s="13">
        <v>79.0</v>
      </c>
      <c r="D204" s="12" t="s">
        <v>14</v>
      </c>
      <c r="E204" s="13">
        <v>50.0</v>
      </c>
      <c r="F204" s="13">
        <v>4.0</v>
      </c>
      <c r="H204" s="13">
        <f t="shared" si="5"/>
        <v>54</v>
      </c>
      <c r="I204" s="13" t="s">
        <v>46</v>
      </c>
      <c r="K204" s="15">
        <f t="shared" si="2"/>
        <v>0.9259259259</v>
      </c>
    </row>
    <row r="205" ht="15.75" customHeight="1">
      <c r="A205" s="14">
        <v>45688.0</v>
      </c>
      <c r="B205" s="8" t="str">
        <f t="shared" si="1"/>
        <v>Jan-25</v>
      </c>
      <c r="C205" s="13">
        <v>79.0</v>
      </c>
      <c r="D205" s="12" t="s">
        <v>14</v>
      </c>
      <c r="E205" s="13">
        <v>100.0</v>
      </c>
      <c r="F205" s="13">
        <v>4.0</v>
      </c>
      <c r="H205" s="8">
        <f t="shared" si="5"/>
        <v>104</v>
      </c>
      <c r="I205" s="13" t="s">
        <v>58</v>
      </c>
      <c r="K205" s="15">
        <f t="shared" si="2"/>
        <v>0.9615384615</v>
      </c>
    </row>
    <row r="206" ht="15.75" customHeight="1">
      <c r="A206" s="14">
        <v>45688.0</v>
      </c>
      <c r="B206" s="8" t="str">
        <f t="shared" si="1"/>
        <v>Jan-25</v>
      </c>
      <c r="C206" s="13">
        <v>79.0</v>
      </c>
      <c r="D206" s="12" t="s">
        <v>14</v>
      </c>
      <c r="E206" s="13">
        <v>95.0</v>
      </c>
      <c r="F206" s="13">
        <v>1.0</v>
      </c>
      <c r="H206" s="13">
        <f t="shared" si="5"/>
        <v>96</v>
      </c>
      <c r="I206" s="13" t="s">
        <v>22</v>
      </c>
      <c r="K206" s="15">
        <f t="shared" si="2"/>
        <v>0.9895833333</v>
      </c>
    </row>
    <row r="207" ht="15.75" customHeight="1">
      <c r="A207" s="14">
        <v>45689.0</v>
      </c>
      <c r="B207" s="8" t="str">
        <f t="shared" si="1"/>
        <v>Feb-25</v>
      </c>
      <c r="C207" s="13">
        <v>79.0</v>
      </c>
      <c r="D207" s="12" t="s">
        <v>15</v>
      </c>
      <c r="E207" s="13">
        <v>100.0</v>
      </c>
      <c r="F207" s="13">
        <v>9.0</v>
      </c>
      <c r="H207" s="13">
        <f t="shared" si="5"/>
        <v>109</v>
      </c>
      <c r="I207" s="13" t="s">
        <v>37</v>
      </c>
      <c r="K207" s="15">
        <f t="shared" si="2"/>
        <v>0.9174311927</v>
      </c>
    </row>
    <row r="208" ht="15.75" customHeight="1">
      <c r="A208" s="14">
        <v>45689.0</v>
      </c>
      <c r="B208" s="8" t="str">
        <f t="shared" si="1"/>
        <v>Feb-25</v>
      </c>
      <c r="C208" s="13">
        <v>79.0</v>
      </c>
      <c r="D208" s="12" t="s">
        <v>14</v>
      </c>
      <c r="E208" s="13">
        <v>90.0</v>
      </c>
      <c r="F208" s="13">
        <v>7.0</v>
      </c>
      <c r="H208" s="13">
        <f t="shared" si="5"/>
        <v>97</v>
      </c>
      <c r="I208" s="13" t="s">
        <v>22</v>
      </c>
      <c r="K208" s="15">
        <f t="shared" si="2"/>
        <v>0.9278350515</v>
      </c>
    </row>
    <row r="209" ht="15.75" customHeight="1">
      <c r="A209" s="14">
        <v>45689.0</v>
      </c>
      <c r="B209" s="8" t="str">
        <f t="shared" si="1"/>
        <v>Feb-25</v>
      </c>
      <c r="C209" s="13">
        <v>79.0</v>
      </c>
      <c r="D209" s="12" t="s">
        <v>14</v>
      </c>
      <c r="E209" s="13">
        <v>94.0</v>
      </c>
      <c r="F209" s="13">
        <v>12.0</v>
      </c>
      <c r="H209" s="13">
        <f t="shared" si="5"/>
        <v>106</v>
      </c>
      <c r="I209" s="13" t="s">
        <v>46</v>
      </c>
      <c r="K209" s="15">
        <f t="shared" si="2"/>
        <v>0.8867924528</v>
      </c>
    </row>
    <row r="210" ht="15.75" customHeight="1">
      <c r="A210" s="14">
        <v>45691.0</v>
      </c>
      <c r="B210" s="8" t="str">
        <f t="shared" si="1"/>
        <v>Feb-25</v>
      </c>
      <c r="C210" s="13">
        <v>79.0</v>
      </c>
      <c r="D210" s="12" t="s">
        <v>11</v>
      </c>
      <c r="E210" s="13">
        <v>120.0</v>
      </c>
      <c r="F210" s="13">
        <v>19.0</v>
      </c>
      <c r="H210" s="13">
        <f t="shared" si="5"/>
        <v>139</v>
      </c>
      <c r="I210" s="13" t="s">
        <v>59</v>
      </c>
      <c r="K210" s="15">
        <f t="shared" si="2"/>
        <v>0.8633093525</v>
      </c>
    </row>
    <row r="211" ht="15.75" customHeight="1">
      <c r="A211" s="14">
        <v>45691.0</v>
      </c>
      <c r="B211" s="8" t="str">
        <f t="shared" si="1"/>
        <v>Feb-25</v>
      </c>
      <c r="C211" s="13">
        <v>79.0</v>
      </c>
      <c r="D211" s="12" t="s">
        <v>31</v>
      </c>
      <c r="E211" s="13">
        <v>65.0</v>
      </c>
      <c r="F211" s="13">
        <v>8.0</v>
      </c>
      <c r="H211" s="13">
        <f t="shared" si="5"/>
        <v>73</v>
      </c>
      <c r="I211" s="13" t="s">
        <v>37</v>
      </c>
      <c r="K211" s="15">
        <f t="shared" si="2"/>
        <v>0.8904109589</v>
      </c>
    </row>
    <row r="212" ht="15.75" customHeight="1">
      <c r="A212" s="14">
        <v>45691.0</v>
      </c>
      <c r="B212" s="8" t="str">
        <f t="shared" si="1"/>
        <v>Feb-25</v>
      </c>
      <c r="C212" s="13">
        <v>79.0</v>
      </c>
      <c r="D212" s="12" t="s">
        <v>24</v>
      </c>
      <c r="E212" s="13">
        <v>30.0</v>
      </c>
      <c r="F212" s="13">
        <v>3.0</v>
      </c>
      <c r="H212" s="13">
        <f t="shared" si="5"/>
        <v>33</v>
      </c>
      <c r="I212" s="13" t="s">
        <v>37</v>
      </c>
      <c r="K212" s="15">
        <f t="shared" si="2"/>
        <v>0.9090909091</v>
      </c>
    </row>
    <row r="213" ht="15.75" customHeight="1">
      <c r="A213" s="14">
        <v>45691.0</v>
      </c>
      <c r="B213" s="8" t="str">
        <f t="shared" si="1"/>
        <v>Feb-25</v>
      </c>
      <c r="C213" s="13">
        <v>79.0</v>
      </c>
      <c r="D213" s="12" t="s">
        <v>11</v>
      </c>
      <c r="E213" s="13">
        <v>105.0</v>
      </c>
      <c r="F213" s="13">
        <v>15.0</v>
      </c>
      <c r="H213" s="13">
        <f t="shared" si="5"/>
        <v>120</v>
      </c>
      <c r="I213" s="13" t="s">
        <v>46</v>
      </c>
      <c r="K213" s="15">
        <f t="shared" si="2"/>
        <v>0.875</v>
      </c>
    </row>
    <row r="214" ht="15.75" customHeight="1">
      <c r="A214" s="14">
        <v>45691.0</v>
      </c>
      <c r="B214" s="8" t="str">
        <f t="shared" si="1"/>
        <v>Feb-25</v>
      </c>
      <c r="C214" s="13">
        <v>79.0</v>
      </c>
      <c r="D214" s="12" t="s">
        <v>31</v>
      </c>
      <c r="E214" s="13">
        <v>25.0</v>
      </c>
      <c r="F214" s="13">
        <v>17.0</v>
      </c>
      <c r="H214" s="13">
        <f t="shared" si="5"/>
        <v>42</v>
      </c>
      <c r="I214" s="13" t="s">
        <v>23</v>
      </c>
      <c r="K214" s="15">
        <f t="shared" si="2"/>
        <v>0.5952380952</v>
      </c>
    </row>
    <row r="215" ht="15.75" customHeight="1">
      <c r="A215" s="14">
        <v>45691.0</v>
      </c>
      <c r="B215" s="8" t="str">
        <f t="shared" si="1"/>
        <v>Feb-25</v>
      </c>
      <c r="C215" s="13">
        <v>79.0</v>
      </c>
      <c r="D215" s="12" t="s">
        <v>31</v>
      </c>
      <c r="E215" s="13">
        <v>4.0</v>
      </c>
      <c r="H215" s="8">
        <f t="shared" si="5"/>
        <v>4</v>
      </c>
      <c r="I215" s="13" t="s">
        <v>58</v>
      </c>
      <c r="K215" s="15">
        <f t="shared" si="2"/>
        <v>1</v>
      </c>
    </row>
    <row r="216" ht="15.75" customHeight="1">
      <c r="A216" s="14">
        <v>45692.0</v>
      </c>
      <c r="B216" s="8" t="str">
        <f t="shared" si="1"/>
        <v>Feb-25</v>
      </c>
      <c r="C216" s="13">
        <v>79.0</v>
      </c>
      <c r="D216" s="12" t="s">
        <v>15</v>
      </c>
      <c r="E216" s="13">
        <v>15.0</v>
      </c>
      <c r="H216" s="13">
        <f t="shared" si="5"/>
        <v>15</v>
      </c>
      <c r="I216" s="13" t="s">
        <v>37</v>
      </c>
      <c r="K216" s="15">
        <f t="shared" si="2"/>
        <v>1</v>
      </c>
    </row>
    <row r="217" ht="15.75" customHeight="1">
      <c r="A217" s="14">
        <v>45696.0</v>
      </c>
      <c r="B217" s="8" t="str">
        <f t="shared" si="1"/>
        <v>Feb-25</v>
      </c>
      <c r="C217" s="13">
        <v>79.0</v>
      </c>
      <c r="D217" s="12" t="s">
        <v>17</v>
      </c>
      <c r="E217" s="13">
        <v>165.0</v>
      </c>
      <c r="F217" s="13">
        <v>15.0</v>
      </c>
      <c r="H217" s="13">
        <f t="shared" si="5"/>
        <v>180</v>
      </c>
      <c r="I217" s="13" t="s">
        <v>37</v>
      </c>
      <c r="K217" s="15">
        <f t="shared" si="2"/>
        <v>0.9166666667</v>
      </c>
    </row>
    <row r="218" ht="15.75" customHeight="1">
      <c r="A218" s="14">
        <v>45696.0</v>
      </c>
      <c r="B218" s="8" t="str">
        <f t="shared" si="1"/>
        <v>Feb-25</v>
      </c>
      <c r="C218" s="13">
        <v>79.0</v>
      </c>
      <c r="D218" s="12" t="s">
        <v>17</v>
      </c>
      <c r="E218" s="13">
        <v>100.0</v>
      </c>
      <c r="F218" s="13">
        <v>2.0</v>
      </c>
      <c r="H218" s="13">
        <f t="shared" si="5"/>
        <v>102</v>
      </c>
      <c r="I218" s="13" t="s">
        <v>23</v>
      </c>
      <c r="K218" s="15">
        <f t="shared" si="2"/>
        <v>0.9803921569</v>
      </c>
    </row>
    <row r="219" ht="15.75" customHeight="1">
      <c r="A219" s="14">
        <v>45696.0</v>
      </c>
      <c r="B219" s="8" t="str">
        <f t="shared" si="1"/>
        <v>Feb-25</v>
      </c>
      <c r="C219" s="13">
        <v>79.0</v>
      </c>
      <c r="D219" s="12" t="s">
        <v>17</v>
      </c>
      <c r="E219" s="13">
        <v>135.0</v>
      </c>
      <c r="F219" s="13">
        <v>5.0</v>
      </c>
      <c r="H219" s="13">
        <f t="shared" si="5"/>
        <v>140</v>
      </c>
      <c r="I219" s="13" t="s">
        <v>22</v>
      </c>
      <c r="K219" s="15">
        <f t="shared" si="2"/>
        <v>0.9642857143</v>
      </c>
      <c r="P219" s="13">
        <v>0.0</v>
      </c>
    </row>
    <row r="220" ht="15.75" customHeight="1">
      <c r="A220" s="14">
        <v>45698.0</v>
      </c>
      <c r="B220" s="8" t="str">
        <f t="shared" si="1"/>
        <v>Feb-25</v>
      </c>
      <c r="C220" s="13">
        <v>79.0</v>
      </c>
      <c r="D220" s="12" t="s">
        <v>17</v>
      </c>
      <c r="E220" s="13">
        <v>140.0</v>
      </c>
      <c r="F220" s="13">
        <v>5.0</v>
      </c>
      <c r="H220" s="13">
        <f t="shared" si="5"/>
        <v>145</v>
      </c>
      <c r="I220" s="13" t="s">
        <v>37</v>
      </c>
      <c r="K220" s="15">
        <f t="shared" si="2"/>
        <v>0.9655172414</v>
      </c>
    </row>
    <row r="221" ht="15.75" customHeight="1">
      <c r="A221" s="14">
        <v>45698.0</v>
      </c>
      <c r="B221" s="8" t="str">
        <f t="shared" si="1"/>
        <v>Feb-25</v>
      </c>
      <c r="C221" s="13">
        <v>79.0</v>
      </c>
      <c r="D221" s="12" t="s">
        <v>17</v>
      </c>
      <c r="E221" s="13">
        <v>32.0</v>
      </c>
      <c r="F221" s="13">
        <v>2.0</v>
      </c>
      <c r="H221" s="13">
        <f t="shared" si="5"/>
        <v>34</v>
      </c>
      <c r="I221" s="13" t="s">
        <v>23</v>
      </c>
      <c r="K221" s="15">
        <f t="shared" si="2"/>
        <v>0.9411764706</v>
      </c>
    </row>
    <row r="222" ht="15.75" customHeight="1">
      <c r="A222" s="14">
        <v>45698.0</v>
      </c>
      <c r="B222" s="8" t="str">
        <f t="shared" si="1"/>
        <v>Feb-25</v>
      </c>
      <c r="C222" s="13">
        <v>79.0</v>
      </c>
      <c r="D222" s="12" t="s">
        <v>17</v>
      </c>
      <c r="E222" s="13">
        <v>90.0</v>
      </c>
      <c r="F222" s="13">
        <v>2.0</v>
      </c>
      <c r="H222" s="13">
        <f t="shared" si="5"/>
        <v>92</v>
      </c>
      <c r="I222" s="13" t="s">
        <v>22</v>
      </c>
      <c r="K222" s="15">
        <f t="shared" si="2"/>
        <v>0.9782608696</v>
      </c>
    </row>
    <row r="223" ht="15.75" customHeight="1">
      <c r="A223" s="14">
        <v>45699.0</v>
      </c>
      <c r="B223" s="8" t="str">
        <f t="shared" si="1"/>
        <v>Feb-25</v>
      </c>
      <c r="C223" s="13">
        <v>80.0</v>
      </c>
      <c r="D223" s="12" t="s">
        <v>14</v>
      </c>
      <c r="E223" s="13">
        <v>55.0</v>
      </c>
      <c r="F223" s="13">
        <v>1.0</v>
      </c>
      <c r="H223" s="13">
        <f t="shared" si="5"/>
        <v>56</v>
      </c>
      <c r="I223" s="13" t="s">
        <v>22</v>
      </c>
      <c r="K223" s="15">
        <f t="shared" si="2"/>
        <v>0.9821428571</v>
      </c>
    </row>
    <row r="224" ht="15.75" customHeight="1">
      <c r="A224" s="14">
        <v>45700.0</v>
      </c>
      <c r="B224" s="8" t="str">
        <f t="shared" si="1"/>
        <v>Feb-25</v>
      </c>
      <c r="C224" s="13">
        <v>80.0</v>
      </c>
      <c r="D224" s="12" t="s">
        <v>14</v>
      </c>
      <c r="E224" s="13">
        <v>125.0</v>
      </c>
      <c r="F224" s="13">
        <v>2.0</v>
      </c>
      <c r="H224" s="13">
        <f t="shared" si="5"/>
        <v>127</v>
      </c>
      <c r="I224" s="13" t="s">
        <v>22</v>
      </c>
      <c r="K224" s="15">
        <f t="shared" si="2"/>
        <v>0.9842519685</v>
      </c>
    </row>
    <row r="225" ht="15.75" customHeight="1">
      <c r="A225" s="14">
        <v>45701.0</v>
      </c>
      <c r="B225" s="8" t="str">
        <f t="shared" si="1"/>
        <v>Feb-25</v>
      </c>
      <c r="C225" s="13">
        <v>80.0</v>
      </c>
      <c r="D225" s="12" t="s">
        <v>11</v>
      </c>
      <c r="E225" s="13">
        <v>80.0</v>
      </c>
      <c r="F225" s="13">
        <v>2.0</v>
      </c>
      <c r="H225" s="13">
        <f t="shared" si="5"/>
        <v>82</v>
      </c>
      <c r="I225" s="13" t="s">
        <v>37</v>
      </c>
      <c r="K225" s="15">
        <f t="shared" si="2"/>
        <v>0.9756097561</v>
      </c>
    </row>
    <row r="226" ht="15.75" customHeight="1">
      <c r="A226" s="14">
        <v>45701.0</v>
      </c>
      <c r="B226" s="8" t="str">
        <f t="shared" si="1"/>
        <v>Feb-25</v>
      </c>
      <c r="C226" s="13">
        <v>80.0</v>
      </c>
      <c r="D226" s="12" t="s">
        <v>14</v>
      </c>
      <c r="E226" s="13">
        <v>23.0</v>
      </c>
      <c r="H226" s="13">
        <f t="shared" si="5"/>
        <v>23</v>
      </c>
      <c r="I226" s="13" t="s">
        <v>46</v>
      </c>
      <c r="J226" s="13" t="s">
        <v>91</v>
      </c>
      <c r="K226" s="15">
        <f t="shared" si="2"/>
        <v>1</v>
      </c>
    </row>
    <row r="227" ht="15.75" customHeight="1">
      <c r="A227" s="14">
        <v>45701.0</v>
      </c>
      <c r="B227" s="8" t="str">
        <f t="shared" si="1"/>
        <v>Feb-25</v>
      </c>
      <c r="C227" s="13">
        <v>80.0</v>
      </c>
      <c r="D227" s="12" t="s">
        <v>15</v>
      </c>
      <c r="E227" s="13">
        <v>44.0</v>
      </c>
      <c r="H227" s="13">
        <f t="shared" si="5"/>
        <v>44</v>
      </c>
      <c r="I227" s="13" t="s">
        <v>46</v>
      </c>
      <c r="J227" s="13" t="s">
        <v>91</v>
      </c>
      <c r="K227" s="15">
        <f t="shared" si="2"/>
        <v>1</v>
      </c>
    </row>
    <row r="228" ht="15.75" customHeight="1">
      <c r="A228" s="14">
        <v>45701.0</v>
      </c>
      <c r="B228" s="8" t="str">
        <f t="shared" si="1"/>
        <v>Feb-25</v>
      </c>
      <c r="C228" s="13">
        <v>80.0</v>
      </c>
      <c r="D228" s="12" t="s">
        <v>17</v>
      </c>
      <c r="E228" s="13">
        <v>25.0</v>
      </c>
      <c r="H228" s="13">
        <f t="shared" si="5"/>
        <v>25</v>
      </c>
      <c r="I228" s="13" t="s">
        <v>46</v>
      </c>
      <c r="J228" s="13" t="s">
        <v>91</v>
      </c>
      <c r="K228" s="15">
        <f t="shared" si="2"/>
        <v>1</v>
      </c>
    </row>
    <row r="229" ht="15.75" customHeight="1">
      <c r="A229" s="14">
        <v>45702.0</v>
      </c>
      <c r="B229" s="8" t="str">
        <f t="shared" si="1"/>
        <v>Feb-25</v>
      </c>
      <c r="C229" s="13">
        <v>80.0</v>
      </c>
      <c r="D229" s="12" t="s">
        <v>14</v>
      </c>
      <c r="E229" s="13">
        <v>120.0</v>
      </c>
      <c r="H229" s="13">
        <f t="shared" si="5"/>
        <v>120</v>
      </c>
      <c r="I229" s="13" t="s">
        <v>46</v>
      </c>
      <c r="J229" s="13" t="s">
        <v>91</v>
      </c>
      <c r="K229" s="15">
        <f t="shared" si="2"/>
        <v>1</v>
      </c>
    </row>
    <row r="230" ht="15.75" customHeight="1">
      <c r="A230" s="14">
        <v>45702.0</v>
      </c>
      <c r="B230" s="8" t="str">
        <f t="shared" si="1"/>
        <v>Feb-25</v>
      </c>
      <c r="C230" s="13">
        <v>80.0</v>
      </c>
      <c r="D230" s="12" t="s">
        <v>15</v>
      </c>
      <c r="E230" s="13">
        <v>32.0</v>
      </c>
      <c r="F230" s="13">
        <v>4.0</v>
      </c>
      <c r="H230" s="13">
        <f t="shared" si="5"/>
        <v>36</v>
      </c>
      <c r="I230" s="13" t="s">
        <v>46</v>
      </c>
      <c r="K230" s="15">
        <f t="shared" si="2"/>
        <v>0.8888888889</v>
      </c>
    </row>
    <row r="231" ht="15.75" customHeight="1">
      <c r="A231" s="14">
        <v>45702.0</v>
      </c>
      <c r="B231" s="8" t="str">
        <f t="shared" si="1"/>
        <v>Feb-25</v>
      </c>
      <c r="C231" s="13">
        <v>80.0</v>
      </c>
      <c r="D231" s="12" t="s">
        <v>14</v>
      </c>
      <c r="E231" s="13">
        <v>100.0</v>
      </c>
      <c r="F231" s="13">
        <v>5.0</v>
      </c>
      <c r="H231" s="13">
        <f t="shared" si="5"/>
        <v>105</v>
      </c>
      <c r="I231" s="13" t="s">
        <v>22</v>
      </c>
      <c r="K231" s="15">
        <f t="shared" si="2"/>
        <v>0.9523809524</v>
      </c>
    </row>
    <row r="232" ht="15.75" customHeight="1">
      <c r="A232" s="14">
        <v>45702.0</v>
      </c>
      <c r="B232" s="8" t="str">
        <f t="shared" si="1"/>
        <v>Feb-25</v>
      </c>
      <c r="C232" s="13">
        <v>80.0</v>
      </c>
      <c r="D232" s="12" t="s">
        <v>11</v>
      </c>
      <c r="E232" s="13">
        <v>125.0</v>
      </c>
      <c r="F232" s="13">
        <v>8.0</v>
      </c>
      <c r="H232" s="13">
        <f t="shared" si="5"/>
        <v>133</v>
      </c>
      <c r="I232" s="13" t="s">
        <v>37</v>
      </c>
      <c r="K232" s="15">
        <f t="shared" si="2"/>
        <v>0.9398496241</v>
      </c>
    </row>
    <row r="233" ht="15.75" customHeight="1">
      <c r="A233" s="14">
        <v>45703.0</v>
      </c>
      <c r="B233" s="8" t="str">
        <f t="shared" si="1"/>
        <v>Feb-25</v>
      </c>
      <c r="C233" s="13">
        <v>80.0</v>
      </c>
      <c r="D233" s="12" t="s">
        <v>15</v>
      </c>
      <c r="E233" s="13">
        <v>88.0</v>
      </c>
      <c r="F233" s="13">
        <v>4.0</v>
      </c>
      <c r="H233" s="13">
        <f t="shared" si="5"/>
        <v>92</v>
      </c>
      <c r="I233" s="13" t="s">
        <v>37</v>
      </c>
      <c r="K233" s="15">
        <f t="shared" si="2"/>
        <v>0.9565217391</v>
      </c>
    </row>
    <row r="234" ht="15.75" customHeight="1">
      <c r="A234" s="14">
        <v>45703.0</v>
      </c>
      <c r="B234" s="8" t="str">
        <f t="shared" si="1"/>
        <v>Feb-25</v>
      </c>
      <c r="C234" s="13">
        <v>80.0</v>
      </c>
      <c r="D234" s="12" t="s">
        <v>31</v>
      </c>
      <c r="E234" s="13">
        <v>44.0</v>
      </c>
      <c r="F234" s="13">
        <v>2.0</v>
      </c>
      <c r="H234" s="13">
        <f t="shared" si="5"/>
        <v>46</v>
      </c>
      <c r="I234" s="13" t="s">
        <v>37</v>
      </c>
      <c r="K234" s="15">
        <f t="shared" si="2"/>
        <v>0.9565217391</v>
      </c>
    </row>
    <row r="235" ht="15.75" customHeight="1">
      <c r="A235" s="14">
        <v>45705.0</v>
      </c>
      <c r="B235" s="8" t="str">
        <f t="shared" si="1"/>
        <v>Feb-25</v>
      </c>
      <c r="C235" s="13">
        <v>80.0</v>
      </c>
      <c r="D235" s="12" t="s">
        <v>31</v>
      </c>
      <c r="E235" s="13">
        <v>20.0</v>
      </c>
      <c r="H235" s="8">
        <f t="shared" si="5"/>
        <v>20</v>
      </c>
      <c r="I235" s="13" t="s">
        <v>58</v>
      </c>
      <c r="J235" s="13" t="s">
        <v>94</v>
      </c>
      <c r="K235" s="15">
        <f t="shared" si="2"/>
        <v>1</v>
      </c>
    </row>
    <row r="236" ht="15.75" customHeight="1">
      <c r="A236" s="14">
        <v>45705.0</v>
      </c>
      <c r="B236" s="8" t="str">
        <f t="shared" si="1"/>
        <v>Feb-25</v>
      </c>
      <c r="C236" s="13">
        <v>80.0</v>
      </c>
      <c r="D236" s="12" t="s">
        <v>11</v>
      </c>
      <c r="E236" s="13">
        <v>20.0</v>
      </c>
      <c r="H236" s="8">
        <f t="shared" si="5"/>
        <v>20</v>
      </c>
      <c r="I236" s="13" t="s">
        <v>58</v>
      </c>
      <c r="J236" s="13" t="s">
        <v>94</v>
      </c>
      <c r="K236" s="15">
        <f t="shared" si="2"/>
        <v>1</v>
      </c>
    </row>
    <row r="237" ht="15.75" customHeight="1">
      <c r="A237" s="14">
        <v>45705.0</v>
      </c>
      <c r="B237" s="8" t="str">
        <f t="shared" si="1"/>
        <v>Feb-25</v>
      </c>
      <c r="C237" s="13">
        <v>80.0</v>
      </c>
      <c r="D237" s="12" t="s">
        <v>17</v>
      </c>
      <c r="E237" s="13">
        <v>4.0</v>
      </c>
      <c r="H237" s="8">
        <f t="shared" si="5"/>
        <v>4</v>
      </c>
      <c r="I237" s="13" t="s">
        <v>58</v>
      </c>
      <c r="J237" s="13" t="s">
        <v>94</v>
      </c>
      <c r="K237" s="15">
        <f t="shared" si="2"/>
        <v>1</v>
      </c>
    </row>
    <row r="238" ht="15.75" customHeight="1">
      <c r="A238" s="14">
        <v>45705.0</v>
      </c>
      <c r="B238" s="8" t="str">
        <f t="shared" si="1"/>
        <v>Feb-25</v>
      </c>
      <c r="C238" s="13">
        <v>80.0</v>
      </c>
      <c r="D238" s="12" t="s">
        <v>14</v>
      </c>
      <c r="E238" s="13">
        <v>45.0</v>
      </c>
      <c r="H238" s="8">
        <f t="shared" si="5"/>
        <v>45</v>
      </c>
      <c r="I238" s="13" t="s">
        <v>58</v>
      </c>
      <c r="K238" s="15">
        <f t="shared" si="2"/>
        <v>1</v>
      </c>
    </row>
    <row r="239" ht="15.75" customHeight="1">
      <c r="A239" s="14">
        <v>45705.0</v>
      </c>
      <c r="B239" s="8" t="str">
        <f t="shared" si="1"/>
        <v>Feb-25</v>
      </c>
      <c r="D239" s="12" t="s">
        <v>14</v>
      </c>
      <c r="E239" s="13">
        <v>10.0</v>
      </c>
      <c r="H239" s="13">
        <f t="shared" si="5"/>
        <v>10</v>
      </c>
      <c r="I239" s="13" t="s">
        <v>23</v>
      </c>
      <c r="K239" s="15">
        <f t="shared" si="2"/>
        <v>1</v>
      </c>
    </row>
    <row r="240" ht="15.75" customHeight="1">
      <c r="A240" s="14">
        <v>45706.0</v>
      </c>
      <c r="B240" s="8" t="str">
        <f t="shared" si="1"/>
        <v>Feb-25</v>
      </c>
      <c r="D240" s="12" t="s">
        <v>24</v>
      </c>
      <c r="E240" s="13">
        <v>12.0</v>
      </c>
      <c r="F240" s="13">
        <v>4.0</v>
      </c>
      <c r="H240" s="13">
        <f t="shared" si="5"/>
        <v>16</v>
      </c>
      <c r="I240" s="13" t="s">
        <v>46</v>
      </c>
      <c r="K240" s="15">
        <f t="shared" si="2"/>
        <v>0.75</v>
      </c>
    </row>
    <row r="241" ht="15.75" customHeight="1">
      <c r="A241" s="14">
        <v>45706.0</v>
      </c>
      <c r="B241" s="8" t="str">
        <f t="shared" si="1"/>
        <v>Feb-25</v>
      </c>
      <c r="D241" s="12" t="s">
        <v>15</v>
      </c>
      <c r="E241" s="13">
        <v>19.0</v>
      </c>
      <c r="F241" s="13">
        <v>2.0</v>
      </c>
      <c r="H241" s="13">
        <f t="shared" si="5"/>
        <v>21</v>
      </c>
      <c r="I241" s="13" t="s">
        <v>46</v>
      </c>
      <c r="K241" s="15">
        <f t="shared" si="2"/>
        <v>0.9047619048</v>
      </c>
    </row>
    <row r="242" ht="15.75" customHeight="1">
      <c r="A242" s="14">
        <v>45706.0</v>
      </c>
      <c r="B242" s="8" t="str">
        <f t="shared" si="1"/>
        <v>Feb-25</v>
      </c>
      <c r="D242" s="12" t="s">
        <v>14</v>
      </c>
      <c r="E242" s="13">
        <v>70.0</v>
      </c>
      <c r="H242" s="8">
        <f t="shared" si="5"/>
        <v>70</v>
      </c>
      <c r="I242" s="13" t="s">
        <v>58</v>
      </c>
      <c r="K242" s="15">
        <f t="shared" si="2"/>
        <v>1</v>
      </c>
    </row>
    <row r="243" ht="15.75" customHeight="1">
      <c r="A243" s="14">
        <v>45706.0</v>
      </c>
      <c r="B243" s="8" t="str">
        <f t="shared" si="1"/>
        <v>Feb-25</v>
      </c>
      <c r="D243" s="12" t="s">
        <v>11</v>
      </c>
      <c r="E243" s="13">
        <v>23.0</v>
      </c>
      <c r="H243" s="8">
        <f t="shared" si="5"/>
        <v>23</v>
      </c>
      <c r="I243" s="13" t="s">
        <v>58</v>
      </c>
      <c r="K243" s="15">
        <f t="shared" si="2"/>
        <v>1</v>
      </c>
    </row>
    <row r="244" ht="15.75" customHeight="1">
      <c r="A244" s="14">
        <v>45706.0</v>
      </c>
      <c r="B244" s="8" t="str">
        <f t="shared" si="1"/>
        <v>Feb-25</v>
      </c>
      <c r="D244" s="12" t="s">
        <v>14</v>
      </c>
      <c r="E244" s="13">
        <v>111.0</v>
      </c>
      <c r="F244" s="13">
        <v>8.0</v>
      </c>
      <c r="H244" s="13">
        <f t="shared" si="5"/>
        <v>119</v>
      </c>
      <c r="I244" s="13" t="s">
        <v>37</v>
      </c>
      <c r="K244" s="15">
        <f t="shared" si="2"/>
        <v>0.9327731092</v>
      </c>
    </row>
    <row r="245" ht="15.75" customHeight="1">
      <c r="A245" s="14">
        <v>45706.0</v>
      </c>
      <c r="B245" s="8" t="str">
        <f t="shared" si="1"/>
        <v>Feb-25</v>
      </c>
      <c r="D245" s="12" t="s">
        <v>11</v>
      </c>
      <c r="E245" s="13">
        <v>3.0</v>
      </c>
      <c r="H245" s="13">
        <f t="shared" si="5"/>
        <v>3</v>
      </c>
      <c r="I245" s="13" t="s">
        <v>37</v>
      </c>
      <c r="K245" s="15">
        <f t="shared" si="2"/>
        <v>1</v>
      </c>
    </row>
    <row r="246" ht="15.75" customHeight="1">
      <c r="A246" s="14">
        <v>45707.0</v>
      </c>
      <c r="B246" s="8" t="str">
        <f t="shared" si="1"/>
        <v>Feb-25</v>
      </c>
      <c r="D246" s="12" t="s">
        <v>31</v>
      </c>
      <c r="E246" s="13">
        <v>25.0</v>
      </c>
      <c r="H246" s="13">
        <f t="shared" si="5"/>
        <v>25</v>
      </c>
      <c r="I246" s="13" t="s">
        <v>22</v>
      </c>
      <c r="K246" s="15">
        <f t="shared" si="2"/>
        <v>1</v>
      </c>
    </row>
    <row r="247" ht="15.75" customHeight="1">
      <c r="A247" s="14">
        <v>45707.0</v>
      </c>
      <c r="B247" s="8" t="str">
        <f t="shared" si="1"/>
        <v>Feb-25</v>
      </c>
      <c r="D247" s="12" t="s">
        <v>31</v>
      </c>
      <c r="E247" s="13">
        <v>60.0</v>
      </c>
      <c r="H247" s="13">
        <f t="shared" si="5"/>
        <v>60</v>
      </c>
      <c r="I247" s="13" t="s">
        <v>22</v>
      </c>
      <c r="J247" s="13" t="s">
        <v>94</v>
      </c>
      <c r="K247" s="15">
        <f t="shared" si="2"/>
        <v>1</v>
      </c>
    </row>
    <row r="248" ht="15.75" customHeight="1">
      <c r="A248" s="14">
        <v>45707.0</v>
      </c>
      <c r="B248" s="8" t="str">
        <f t="shared" si="1"/>
        <v>Feb-25</v>
      </c>
      <c r="D248" s="12" t="s">
        <v>14</v>
      </c>
      <c r="E248" s="13">
        <v>55.0</v>
      </c>
      <c r="H248" s="13">
        <f t="shared" si="5"/>
        <v>55</v>
      </c>
      <c r="I248" s="13" t="s">
        <v>22</v>
      </c>
      <c r="J248" s="13" t="s">
        <v>94</v>
      </c>
      <c r="K248" s="15">
        <f t="shared" si="2"/>
        <v>1</v>
      </c>
    </row>
    <row r="249" ht="15.75" customHeight="1">
      <c r="A249" s="14">
        <v>45707.0</v>
      </c>
      <c r="B249" s="8" t="str">
        <f t="shared" si="1"/>
        <v>Feb-25</v>
      </c>
      <c r="D249" s="12" t="s">
        <v>11</v>
      </c>
      <c r="E249" s="13">
        <v>90.0</v>
      </c>
      <c r="F249" s="13">
        <v>16.0</v>
      </c>
      <c r="H249" s="8">
        <f t="shared" si="5"/>
        <v>106</v>
      </c>
      <c r="I249" s="13" t="s">
        <v>58</v>
      </c>
      <c r="K249" s="15">
        <f t="shared" si="2"/>
        <v>0.8490566038</v>
      </c>
    </row>
    <row r="250" ht="15.75" customHeight="1">
      <c r="A250" s="14">
        <v>45709.0</v>
      </c>
      <c r="B250" s="8" t="str">
        <f t="shared" si="1"/>
        <v>Feb-25</v>
      </c>
      <c r="D250" s="12" t="s">
        <v>28</v>
      </c>
      <c r="E250" s="13">
        <v>16.0</v>
      </c>
      <c r="H250" s="13">
        <f t="shared" si="5"/>
        <v>16</v>
      </c>
      <c r="I250" s="13" t="s">
        <v>46</v>
      </c>
      <c r="J250" s="13" t="s">
        <v>94</v>
      </c>
      <c r="K250" s="15">
        <f t="shared" si="2"/>
        <v>1</v>
      </c>
    </row>
    <row r="251" ht="15.75" customHeight="1">
      <c r="A251" s="14">
        <v>45709.0</v>
      </c>
      <c r="B251" s="8" t="str">
        <f t="shared" si="1"/>
        <v>Feb-25</v>
      </c>
      <c r="D251" s="12" t="s">
        <v>17</v>
      </c>
      <c r="E251" s="13">
        <v>13.0</v>
      </c>
      <c r="H251" s="13">
        <f t="shared" si="5"/>
        <v>13</v>
      </c>
      <c r="I251" s="13" t="s">
        <v>46</v>
      </c>
      <c r="J251" s="13" t="s">
        <v>94</v>
      </c>
      <c r="K251" s="15">
        <f t="shared" si="2"/>
        <v>1</v>
      </c>
    </row>
    <row r="252" ht="15.75" customHeight="1">
      <c r="A252" s="14">
        <v>45709.0</v>
      </c>
      <c r="B252" s="8" t="str">
        <f t="shared" si="1"/>
        <v>Feb-25</v>
      </c>
      <c r="D252" s="12" t="s">
        <v>24</v>
      </c>
      <c r="E252" s="13">
        <v>8.0</v>
      </c>
      <c r="H252" s="13">
        <f t="shared" si="5"/>
        <v>8</v>
      </c>
      <c r="I252" s="13" t="s">
        <v>46</v>
      </c>
      <c r="J252" s="13" t="s">
        <v>94</v>
      </c>
      <c r="K252" s="15">
        <f t="shared" si="2"/>
        <v>1</v>
      </c>
    </row>
    <row r="253" ht="15.75" customHeight="1">
      <c r="A253" s="14">
        <v>45709.0</v>
      </c>
      <c r="B253" s="8" t="str">
        <f t="shared" si="1"/>
        <v>Feb-25</v>
      </c>
      <c r="D253" s="12" t="s">
        <v>17</v>
      </c>
      <c r="E253" s="13">
        <v>60.0</v>
      </c>
      <c r="H253" s="13">
        <f t="shared" si="5"/>
        <v>60</v>
      </c>
      <c r="I253" s="13" t="s">
        <v>65</v>
      </c>
      <c r="K253" s="15">
        <f t="shared" si="2"/>
        <v>1</v>
      </c>
    </row>
    <row r="254" ht="15.75" customHeight="1">
      <c r="A254" s="14">
        <v>45709.0</v>
      </c>
      <c r="B254" s="8" t="str">
        <f t="shared" si="1"/>
        <v>Feb-25</v>
      </c>
      <c r="D254" s="12" t="s">
        <v>17</v>
      </c>
      <c r="E254" s="13">
        <v>95.0</v>
      </c>
      <c r="H254" s="13">
        <f t="shared" si="5"/>
        <v>95</v>
      </c>
      <c r="I254" s="13" t="s">
        <v>22</v>
      </c>
      <c r="K254" s="15">
        <f t="shared" si="2"/>
        <v>1</v>
      </c>
    </row>
    <row r="255" ht="15.75" customHeight="1">
      <c r="A255" s="14">
        <v>45710.0</v>
      </c>
      <c r="B255" s="8" t="str">
        <f t="shared" si="1"/>
        <v>Feb-25</v>
      </c>
      <c r="D255" s="12" t="s">
        <v>17</v>
      </c>
      <c r="E255" s="13">
        <v>109.0</v>
      </c>
      <c r="F255" s="13">
        <v>5.0</v>
      </c>
      <c r="H255" s="13">
        <f t="shared" si="5"/>
        <v>114</v>
      </c>
      <c r="I255" s="13" t="s">
        <v>59</v>
      </c>
      <c r="K255" s="15">
        <f t="shared" si="2"/>
        <v>0.9561403509</v>
      </c>
    </row>
    <row r="256" ht="15.75" customHeight="1">
      <c r="A256" s="14">
        <v>45710.0</v>
      </c>
      <c r="B256" s="8" t="str">
        <f t="shared" si="1"/>
        <v>Feb-25</v>
      </c>
      <c r="D256" s="12" t="s">
        <v>11</v>
      </c>
      <c r="E256" s="13">
        <v>35.0</v>
      </c>
      <c r="H256" s="13">
        <f t="shared" si="5"/>
        <v>35</v>
      </c>
      <c r="I256" s="13" t="s">
        <v>59</v>
      </c>
      <c r="J256" s="13" t="s">
        <v>94</v>
      </c>
      <c r="K256" s="15">
        <f t="shared" si="2"/>
        <v>1</v>
      </c>
    </row>
    <row r="257" ht="15.75" customHeight="1">
      <c r="A257" s="14">
        <v>45713.0</v>
      </c>
      <c r="B257" s="8" t="str">
        <f t="shared" si="1"/>
        <v>Feb-25</v>
      </c>
      <c r="D257" s="12" t="s">
        <v>11</v>
      </c>
      <c r="E257" s="13">
        <v>130.0</v>
      </c>
      <c r="F257" s="13">
        <v>7.0</v>
      </c>
      <c r="H257" s="13">
        <f t="shared" si="5"/>
        <v>137</v>
      </c>
      <c r="I257" s="13" t="s">
        <v>46</v>
      </c>
      <c r="K257" s="15">
        <f t="shared" si="2"/>
        <v>0.9489051095</v>
      </c>
    </row>
    <row r="258" ht="15.75" customHeight="1">
      <c r="A258" s="14">
        <v>45713.0</v>
      </c>
      <c r="B258" s="8" t="str">
        <f t="shared" si="1"/>
        <v>Feb-25</v>
      </c>
      <c r="D258" s="12" t="s">
        <v>11</v>
      </c>
      <c r="E258" s="13">
        <v>145.0</v>
      </c>
      <c r="F258" s="13">
        <v>5.0</v>
      </c>
      <c r="H258" s="8">
        <f t="shared" si="5"/>
        <v>150</v>
      </c>
      <c r="I258" s="13" t="s">
        <v>58</v>
      </c>
      <c r="K258" s="15">
        <f t="shared" si="2"/>
        <v>0.9666666667</v>
      </c>
    </row>
    <row r="259" ht="15.75" customHeight="1">
      <c r="A259" s="14">
        <v>45713.0</v>
      </c>
      <c r="B259" s="8" t="str">
        <f t="shared" si="1"/>
        <v>Feb-25</v>
      </c>
      <c r="D259" s="12" t="s">
        <v>11</v>
      </c>
      <c r="E259" s="13">
        <v>160.0</v>
      </c>
      <c r="F259" s="13">
        <v>4.0</v>
      </c>
      <c r="H259" s="13">
        <f t="shared" si="5"/>
        <v>164</v>
      </c>
      <c r="I259" s="13" t="s">
        <v>37</v>
      </c>
      <c r="K259" s="15">
        <f t="shared" si="2"/>
        <v>0.9756097561</v>
      </c>
    </row>
    <row r="260" ht="15.75" customHeight="1">
      <c r="A260" s="14">
        <v>45713.0</v>
      </c>
      <c r="B260" s="8" t="str">
        <f t="shared" si="1"/>
        <v>Feb-25</v>
      </c>
      <c r="D260" s="12" t="s">
        <v>11</v>
      </c>
      <c r="E260" s="13">
        <v>125.0</v>
      </c>
      <c r="F260" s="13">
        <v>2.0</v>
      </c>
      <c r="H260" s="13">
        <f t="shared" si="5"/>
        <v>127</v>
      </c>
      <c r="I260" s="13" t="s">
        <v>22</v>
      </c>
      <c r="K260" s="15">
        <f t="shared" si="2"/>
        <v>0.9842519685</v>
      </c>
    </row>
    <row r="261" ht="15.75" customHeight="1">
      <c r="A261" s="14">
        <v>45713.0</v>
      </c>
      <c r="B261" s="8" t="str">
        <f t="shared" si="1"/>
        <v>Feb-25</v>
      </c>
      <c r="D261" s="12" t="s">
        <v>11</v>
      </c>
      <c r="E261" s="13">
        <v>100.0</v>
      </c>
      <c r="F261" s="13">
        <v>10.0</v>
      </c>
      <c r="H261" s="13">
        <f t="shared" si="5"/>
        <v>110</v>
      </c>
      <c r="I261" s="13" t="s">
        <v>53</v>
      </c>
      <c r="K261" s="15">
        <f t="shared" si="2"/>
        <v>0.9090909091</v>
      </c>
    </row>
    <row r="262" ht="15.75" customHeight="1">
      <c r="A262" s="14">
        <v>45714.0</v>
      </c>
      <c r="B262" s="8" t="str">
        <f t="shared" si="1"/>
        <v>Feb-25</v>
      </c>
      <c r="D262" s="12" t="s">
        <v>11</v>
      </c>
      <c r="E262" s="13">
        <v>145.0</v>
      </c>
      <c r="F262" s="13">
        <v>7.0</v>
      </c>
      <c r="H262" s="13">
        <f t="shared" si="5"/>
        <v>152</v>
      </c>
      <c r="I262" s="13" t="s">
        <v>59</v>
      </c>
      <c r="K262" s="15">
        <f t="shared" si="2"/>
        <v>0.9539473684</v>
      </c>
    </row>
    <row r="263" ht="15.75" customHeight="1">
      <c r="A263" s="14">
        <v>45714.0</v>
      </c>
      <c r="B263" s="8" t="str">
        <f t="shared" si="1"/>
        <v>Feb-25</v>
      </c>
      <c r="D263" s="12" t="s">
        <v>11</v>
      </c>
      <c r="E263" s="13">
        <v>43.0</v>
      </c>
      <c r="H263" s="13">
        <f t="shared" si="5"/>
        <v>43</v>
      </c>
      <c r="I263" s="13" t="s">
        <v>95</v>
      </c>
      <c r="K263" s="15">
        <f t="shared" si="2"/>
        <v>1</v>
      </c>
    </row>
    <row r="264" ht="15.75" customHeight="1">
      <c r="A264" s="14">
        <v>45714.0</v>
      </c>
      <c r="B264" s="8" t="str">
        <f t="shared" si="1"/>
        <v>Feb-25</v>
      </c>
      <c r="D264" s="12" t="s">
        <v>11</v>
      </c>
      <c r="E264" s="13">
        <v>45.0</v>
      </c>
      <c r="F264" s="13">
        <v>44.0</v>
      </c>
      <c r="H264" s="13">
        <f t="shared" si="5"/>
        <v>89</v>
      </c>
      <c r="I264" s="13" t="s">
        <v>65</v>
      </c>
      <c r="K264" s="15">
        <f t="shared" si="2"/>
        <v>0.5056179775</v>
      </c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K283" s="8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264"/>
  <dataValidations>
    <dataValidation type="list" allowBlank="1" showErrorMessage="1" sqref="K283">
      <formula1>"Option 1,Option 2"</formula1>
    </dataValidation>
    <dataValidation type="list" allowBlank="1" showErrorMessage="1" sqref="I2:I264">
      <formula1>'Data Validation'!$C$3:$C$20</formula1>
    </dataValidation>
    <dataValidation type="list" allowBlank="1" showErrorMessage="1" sqref="D2:D264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3" width="12.14"/>
    <col customWidth="1" min="4" max="4" width="16.14"/>
    <col customWidth="1" min="5" max="5" width="13.29"/>
    <col customWidth="1" min="6" max="6" width="17.43"/>
    <col customWidth="1" min="7" max="7" width="14.86"/>
    <col customWidth="1" min="8" max="97" width="9.29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96</v>
      </c>
      <c r="F1" s="16" t="s">
        <v>97</v>
      </c>
      <c r="G1" s="1" t="s">
        <v>6</v>
      </c>
    </row>
    <row r="2">
      <c r="A2" s="14">
        <v>45605.0</v>
      </c>
      <c r="B2" s="8" t="str">
        <f t="shared" ref="B2:B208" si="1">TEXT(A2,"mmm-yy")</f>
        <v>Nov-24</v>
      </c>
      <c r="D2" s="12" t="s">
        <v>14</v>
      </c>
      <c r="E2" s="13">
        <v>235.0</v>
      </c>
      <c r="F2" s="13" t="s">
        <v>98</v>
      </c>
      <c r="G2" s="13" t="s">
        <v>12</v>
      </c>
    </row>
    <row r="3">
      <c r="A3" s="14">
        <v>45605.0</v>
      </c>
      <c r="B3" s="8" t="str">
        <f t="shared" si="1"/>
        <v>Nov-24</v>
      </c>
      <c r="D3" s="12" t="s">
        <v>11</v>
      </c>
      <c r="E3" s="13">
        <v>474.0</v>
      </c>
      <c r="F3" s="13" t="s">
        <v>99</v>
      </c>
      <c r="G3" s="13" t="s">
        <v>12</v>
      </c>
    </row>
    <row r="4">
      <c r="A4" s="14">
        <v>45607.0</v>
      </c>
      <c r="B4" s="8" t="str">
        <f t="shared" si="1"/>
        <v>Nov-24</v>
      </c>
      <c r="D4" s="12" t="s">
        <v>17</v>
      </c>
      <c r="G4" s="13" t="s">
        <v>12</v>
      </c>
    </row>
    <row r="5">
      <c r="A5" s="14">
        <v>45607.0</v>
      </c>
      <c r="B5" s="8" t="str">
        <f t="shared" si="1"/>
        <v>Nov-24</v>
      </c>
      <c r="D5" s="12" t="s">
        <v>15</v>
      </c>
      <c r="E5" s="13">
        <v>525.0</v>
      </c>
      <c r="F5" s="13" t="s">
        <v>99</v>
      </c>
      <c r="G5" s="13" t="s">
        <v>12</v>
      </c>
    </row>
    <row r="6">
      <c r="A6" s="17">
        <v>45607.0</v>
      </c>
      <c r="B6" s="8" t="str">
        <f t="shared" si="1"/>
        <v>Nov-24</v>
      </c>
      <c r="D6" s="12" t="s">
        <v>14</v>
      </c>
      <c r="G6" s="13" t="s">
        <v>12</v>
      </c>
    </row>
    <row r="7">
      <c r="A7" s="17">
        <v>45607.0</v>
      </c>
      <c r="B7" s="8" t="str">
        <f t="shared" si="1"/>
        <v>Nov-24</v>
      </c>
      <c r="D7" s="12" t="s">
        <v>11</v>
      </c>
      <c r="G7" s="13" t="s">
        <v>12</v>
      </c>
    </row>
    <row r="8">
      <c r="A8" s="17">
        <v>45607.0</v>
      </c>
      <c r="B8" s="8" t="str">
        <f t="shared" si="1"/>
        <v>Nov-24</v>
      </c>
      <c r="D8" s="12" t="s">
        <v>15</v>
      </c>
      <c r="E8" s="13">
        <v>150.0</v>
      </c>
      <c r="F8" s="13" t="s">
        <v>98</v>
      </c>
      <c r="G8" s="13" t="s">
        <v>12</v>
      </c>
    </row>
    <row r="9">
      <c r="A9" s="17">
        <v>45609.0</v>
      </c>
      <c r="B9" s="8" t="str">
        <f t="shared" si="1"/>
        <v>Nov-24</v>
      </c>
      <c r="D9" s="12" t="s">
        <v>17</v>
      </c>
      <c r="E9" s="13">
        <v>200.0</v>
      </c>
      <c r="F9" s="13" t="s">
        <v>106</v>
      </c>
      <c r="G9" s="13" t="s">
        <v>12</v>
      </c>
    </row>
    <row r="10">
      <c r="A10" s="17">
        <v>45611.0</v>
      </c>
      <c r="B10" s="8" t="str">
        <f t="shared" si="1"/>
        <v>Nov-24</v>
      </c>
      <c r="D10" s="12" t="s">
        <v>17</v>
      </c>
      <c r="E10" s="13">
        <v>573.0</v>
      </c>
      <c r="F10" s="13" t="s">
        <v>106</v>
      </c>
      <c r="G10" s="13" t="s">
        <v>12</v>
      </c>
    </row>
    <row r="11">
      <c r="A11" s="17">
        <v>45612.0</v>
      </c>
      <c r="B11" s="8" t="str">
        <f t="shared" si="1"/>
        <v>Nov-24</v>
      </c>
      <c r="D11" s="12" t="s">
        <v>17</v>
      </c>
      <c r="E11" s="13">
        <v>683.0</v>
      </c>
      <c r="F11" s="13" t="s">
        <v>106</v>
      </c>
      <c r="G11" s="13" t="s">
        <v>12</v>
      </c>
    </row>
    <row r="12">
      <c r="A12" s="14">
        <v>45614.0</v>
      </c>
      <c r="B12" s="8" t="str">
        <f t="shared" si="1"/>
        <v>Nov-24</v>
      </c>
      <c r="D12" s="12" t="s">
        <v>17</v>
      </c>
      <c r="E12" s="13">
        <v>476.0</v>
      </c>
      <c r="F12" s="13" t="s">
        <v>106</v>
      </c>
      <c r="G12" s="13" t="s">
        <v>12</v>
      </c>
      <c r="H12" s="8"/>
    </row>
    <row r="13">
      <c r="A13" s="14">
        <v>45614.0</v>
      </c>
      <c r="B13" s="8" t="str">
        <f t="shared" si="1"/>
        <v>Nov-24</v>
      </c>
      <c r="D13" s="12" t="s">
        <v>11</v>
      </c>
      <c r="E13" s="13">
        <v>134.0</v>
      </c>
      <c r="F13" s="13" t="s">
        <v>106</v>
      </c>
      <c r="G13" s="13" t="s">
        <v>12</v>
      </c>
      <c r="H13" s="8"/>
    </row>
    <row r="14">
      <c r="A14" s="14">
        <v>45615.0</v>
      </c>
      <c r="B14" s="8" t="str">
        <f t="shared" si="1"/>
        <v>Nov-24</v>
      </c>
      <c r="D14" s="12" t="s">
        <v>11</v>
      </c>
      <c r="E14" s="13">
        <v>169.0</v>
      </c>
      <c r="F14" s="13" t="s">
        <v>106</v>
      </c>
      <c r="G14" s="13" t="s">
        <v>12</v>
      </c>
    </row>
    <row r="15">
      <c r="A15" s="14">
        <v>45615.0</v>
      </c>
      <c r="B15" s="8" t="str">
        <f t="shared" si="1"/>
        <v>Nov-24</v>
      </c>
      <c r="D15" s="12" t="s">
        <v>28</v>
      </c>
      <c r="E15" s="13">
        <v>190.0</v>
      </c>
      <c r="F15" s="13" t="s">
        <v>106</v>
      </c>
      <c r="G15" s="13" t="s">
        <v>12</v>
      </c>
    </row>
    <row r="16">
      <c r="A16" s="14">
        <v>45615.0</v>
      </c>
      <c r="B16" s="8" t="str">
        <f t="shared" si="1"/>
        <v>Nov-24</v>
      </c>
      <c r="D16" s="12" t="s">
        <v>31</v>
      </c>
      <c r="E16" s="13">
        <v>56.0</v>
      </c>
      <c r="F16" s="13" t="s">
        <v>98</v>
      </c>
      <c r="G16" s="13" t="s">
        <v>12</v>
      </c>
    </row>
    <row r="17">
      <c r="A17" s="14">
        <v>45615.0</v>
      </c>
      <c r="B17" s="8" t="str">
        <f t="shared" si="1"/>
        <v>Nov-24</v>
      </c>
      <c r="D17" s="12" t="s">
        <v>28</v>
      </c>
      <c r="E17" s="13">
        <v>22.0</v>
      </c>
      <c r="F17" s="13" t="s">
        <v>98</v>
      </c>
      <c r="G17" s="13" t="s">
        <v>12</v>
      </c>
    </row>
    <row r="18">
      <c r="A18" s="14">
        <v>45615.0</v>
      </c>
      <c r="B18" s="8" t="str">
        <f t="shared" si="1"/>
        <v>Nov-24</v>
      </c>
      <c r="D18" s="12" t="s">
        <v>28</v>
      </c>
      <c r="E18" s="13">
        <v>51.0</v>
      </c>
      <c r="F18" s="13" t="s">
        <v>102</v>
      </c>
      <c r="G18" s="13" t="s">
        <v>12</v>
      </c>
    </row>
    <row r="19">
      <c r="A19" s="14">
        <v>45615.0</v>
      </c>
      <c r="B19" s="8" t="str">
        <f t="shared" si="1"/>
        <v>Nov-24</v>
      </c>
      <c r="D19" s="12" t="s">
        <v>14</v>
      </c>
      <c r="E19" s="13">
        <v>37.0</v>
      </c>
      <c r="F19" s="13" t="s">
        <v>102</v>
      </c>
      <c r="G19" s="13" t="s">
        <v>12</v>
      </c>
    </row>
    <row r="20">
      <c r="A20" s="14">
        <v>45619.0</v>
      </c>
      <c r="B20" s="8" t="str">
        <f t="shared" si="1"/>
        <v>Nov-24</v>
      </c>
      <c r="D20" s="12" t="s">
        <v>11</v>
      </c>
      <c r="E20" s="13">
        <v>155.0</v>
      </c>
      <c r="F20" s="13" t="s">
        <v>106</v>
      </c>
      <c r="G20" s="13" t="s">
        <v>12</v>
      </c>
    </row>
    <row r="21" ht="15.75" customHeight="1">
      <c r="A21" s="14">
        <v>45619.0</v>
      </c>
      <c r="B21" s="8" t="str">
        <f t="shared" si="1"/>
        <v>Nov-24</v>
      </c>
      <c r="D21" s="12" t="s">
        <v>14</v>
      </c>
      <c r="E21" s="13">
        <v>330.0</v>
      </c>
      <c r="F21" s="13" t="s">
        <v>106</v>
      </c>
      <c r="G21" s="13" t="s">
        <v>12</v>
      </c>
    </row>
    <row r="22" ht="15.75" customHeight="1">
      <c r="A22" s="14">
        <v>45619.0</v>
      </c>
      <c r="B22" s="8" t="str">
        <f t="shared" si="1"/>
        <v>Nov-24</v>
      </c>
      <c r="D22" s="12" t="s">
        <v>11</v>
      </c>
      <c r="E22" s="13">
        <v>30.0</v>
      </c>
      <c r="F22" s="13" t="s">
        <v>98</v>
      </c>
      <c r="G22" s="13" t="s">
        <v>12</v>
      </c>
    </row>
    <row r="23" ht="15.75" customHeight="1">
      <c r="A23" s="14">
        <v>45622.0</v>
      </c>
      <c r="B23" s="8" t="str">
        <f t="shared" si="1"/>
        <v>Nov-24</v>
      </c>
      <c r="D23" s="12" t="s">
        <v>14</v>
      </c>
      <c r="E23" s="13">
        <v>411.0</v>
      </c>
      <c r="F23" s="13" t="s">
        <v>106</v>
      </c>
      <c r="G23" s="13" t="s">
        <v>12</v>
      </c>
    </row>
    <row r="24" ht="15.75" customHeight="1">
      <c r="A24" s="14">
        <v>45622.0</v>
      </c>
      <c r="B24" s="8" t="str">
        <f t="shared" si="1"/>
        <v>Nov-24</v>
      </c>
      <c r="D24" s="12" t="s">
        <v>11</v>
      </c>
      <c r="E24" s="13">
        <v>128.0</v>
      </c>
      <c r="F24" s="13" t="s">
        <v>106</v>
      </c>
      <c r="G24" s="13" t="s">
        <v>12</v>
      </c>
    </row>
    <row r="25" ht="15.75" customHeight="1">
      <c r="A25" s="14">
        <v>45622.0</v>
      </c>
      <c r="B25" s="8" t="str">
        <f t="shared" si="1"/>
        <v>Nov-24</v>
      </c>
      <c r="D25" s="12" t="s">
        <v>11</v>
      </c>
      <c r="E25" s="13">
        <v>150.0</v>
      </c>
      <c r="F25" s="13" t="s">
        <v>102</v>
      </c>
      <c r="G25" s="13" t="s">
        <v>12</v>
      </c>
    </row>
    <row r="26" ht="15.75" customHeight="1">
      <c r="A26" s="14">
        <v>45623.0</v>
      </c>
      <c r="B26" s="8" t="str">
        <f t="shared" si="1"/>
        <v>Nov-24</v>
      </c>
      <c r="D26" s="12" t="s">
        <v>14</v>
      </c>
      <c r="E26" s="13">
        <v>180.0</v>
      </c>
      <c r="F26" s="13" t="s">
        <v>106</v>
      </c>
      <c r="G26" s="13" t="s">
        <v>12</v>
      </c>
    </row>
    <row r="27" ht="15.75" customHeight="1">
      <c r="A27" s="14">
        <v>45623.0</v>
      </c>
      <c r="B27" s="8" t="str">
        <f t="shared" si="1"/>
        <v>Nov-24</v>
      </c>
      <c r="D27" s="12" t="s">
        <v>31</v>
      </c>
      <c r="E27" s="13">
        <v>54.0</v>
      </c>
      <c r="F27" s="13" t="s">
        <v>102</v>
      </c>
      <c r="G27" s="13" t="s">
        <v>12</v>
      </c>
    </row>
    <row r="28" ht="15.75" customHeight="1">
      <c r="A28" s="14">
        <v>45624.0</v>
      </c>
      <c r="B28" s="8" t="str">
        <f t="shared" si="1"/>
        <v>Nov-24</v>
      </c>
      <c r="D28" s="12" t="s">
        <v>17</v>
      </c>
      <c r="E28" s="13">
        <v>122.0</v>
      </c>
      <c r="F28" s="13" t="s">
        <v>106</v>
      </c>
      <c r="G28" s="13" t="s">
        <v>12</v>
      </c>
    </row>
    <row r="29" ht="15.75" customHeight="1">
      <c r="A29" s="14">
        <v>45624.0</v>
      </c>
      <c r="B29" s="8" t="str">
        <f t="shared" si="1"/>
        <v>Nov-24</v>
      </c>
      <c r="D29" s="12" t="s">
        <v>14</v>
      </c>
      <c r="E29" s="13">
        <v>183.0</v>
      </c>
      <c r="F29" s="13" t="s">
        <v>106</v>
      </c>
      <c r="G29" s="13" t="s">
        <v>12</v>
      </c>
    </row>
    <row r="30" ht="15.75" customHeight="1">
      <c r="A30" s="14">
        <v>45624.0</v>
      </c>
      <c r="B30" s="8" t="str">
        <f t="shared" si="1"/>
        <v>Nov-24</v>
      </c>
      <c r="C30" s="13">
        <v>72.0</v>
      </c>
      <c r="D30" s="12" t="s">
        <v>17</v>
      </c>
      <c r="E30" s="13">
        <v>402.0</v>
      </c>
      <c r="F30" s="13" t="s">
        <v>106</v>
      </c>
      <c r="G30" s="13" t="s">
        <v>12</v>
      </c>
    </row>
    <row r="31" ht="15.75" customHeight="1">
      <c r="A31" s="14">
        <v>45624.0</v>
      </c>
      <c r="B31" s="8" t="str">
        <f t="shared" si="1"/>
        <v>Nov-24</v>
      </c>
      <c r="C31" s="13">
        <v>72.0</v>
      </c>
      <c r="D31" s="12" t="s">
        <v>14</v>
      </c>
      <c r="E31" s="13">
        <v>30.0</v>
      </c>
      <c r="F31" s="13" t="s">
        <v>102</v>
      </c>
      <c r="G31" s="13" t="s">
        <v>12</v>
      </c>
    </row>
    <row r="32" ht="15.75" customHeight="1">
      <c r="A32" s="14">
        <v>45624.0</v>
      </c>
      <c r="B32" s="8" t="str">
        <f t="shared" si="1"/>
        <v>Nov-24</v>
      </c>
      <c r="C32" s="13">
        <v>72.0</v>
      </c>
      <c r="D32" s="12" t="s">
        <v>14</v>
      </c>
      <c r="E32" s="13">
        <v>60.0</v>
      </c>
      <c r="F32" s="13" t="s">
        <v>102</v>
      </c>
      <c r="G32" s="13" t="s">
        <v>12</v>
      </c>
    </row>
    <row r="33" ht="15.75" customHeight="1">
      <c r="A33" s="14">
        <v>45625.0</v>
      </c>
      <c r="B33" s="8" t="str">
        <f t="shared" si="1"/>
        <v>Nov-24</v>
      </c>
      <c r="D33" s="12" t="s">
        <v>14</v>
      </c>
      <c r="E33" s="13">
        <v>182.0</v>
      </c>
      <c r="F33" s="13" t="s">
        <v>106</v>
      </c>
      <c r="G33" s="13" t="s">
        <v>12</v>
      </c>
    </row>
    <row r="34" ht="15.75" customHeight="1">
      <c r="A34" s="14">
        <v>45625.0</v>
      </c>
      <c r="B34" s="8" t="str">
        <f t="shared" si="1"/>
        <v>Nov-24</v>
      </c>
      <c r="C34" s="13">
        <v>72.0</v>
      </c>
      <c r="D34" s="12" t="s">
        <v>14</v>
      </c>
      <c r="E34" s="13">
        <v>48.0</v>
      </c>
      <c r="F34" s="13" t="s">
        <v>106</v>
      </c>
      <c r="G34" s="13" t="s">
        <v>12</v>
      </c>
    </row>
    <row r="35" ht="15.75" customHeight="1">
      <c r="A35" s="14">
        <v>45628.0</v>
      </c>
      <c r="B35" s="8" t="str">
        <f t="shared" si="1"/>
        <v>Dec-24</v>
      </c>
      <c r="D35" s="12" t="s">
        <v>28</v>
      </c>
      <c r="E35" s="13">
        <v>202.0</v>
      </c>
      <c r="F35" s="13" t="s">
        <v>106</v>
      </c>
      <c r="G35" s="13" t="s">
        <v>12</v>
      </c>
    </row>
    <row r="36" ht="15.75" customHeight="1">
      <c r="A36" s="14">
        <v>45629.0</v>
      </c>
      <c r="B36" s="8" t="str">
        <f t="shared" si="1"/>
        <v>Dec-24</v>
      </c>
      <c r="D36" s="12" t="s">
        <v>11</v>
      </c>
      <c r="E36" s="13">
        <v>25.0</v>
      </c>
      <c r="F36" s="13" t="s">
        <v>98</v>
      </c>
      <c r="G36" s="13" t="s">
        <v>12</v>
      </c>
    </row>
    <row r="37" ht="15.75" customHeight="1">
      <c r="A37" s="14">
        <v>45629.0</v>
      </c>
      <c r="B37" s="8" t="str">
        <f t="shared" si="1"/>
        <v>Dec-24</v>
      </c>
      <c r="D37" s="12" t="s">
        <v>17</v>
      </c>
      <c r="E37" s="13">
        <v>74.0</v>
      </c>
      <c r="F37" s="13" t="s">
        <v>98</v>
      </c>
      <c r="G37" s="13" t="s">
        <v>12</v>
      </c>
    </row>
    <row r="38" ht="15.75" customHeight="1">
      <c r="A38" s="14">
        <v>45629.0</v>
      </c>
      <c r="B38" s="8" t="str">
        <f t="shared" si="1"/>
        <v>Dec-24</v>
      </c>
      <c r="D38" s="12" t="s">
        <v>17</v>
      </c>
      <c r="E38" s="13">
        <v>134.0</v>
      </c>
      <c r="F38" s="13" t="s">
        <v>99</v>
      </c>
      <c r="G38" s="13" t="s">
        <v>12</v>
      </c>
    </row>
    <row r="39" ht="15.75" customHeight="1">
      <c r="A39" s="14">
        <v>45629.0</v>
      </c>
      <c r="B39" s="8" t="str">
        <f t="shared" si="1"/>
        <v>Dec-24</v>
      </c>
      <c r="D39" s="12" t="s">
        <v>11</v>
      </c>
      <c r="E39" s="13">
        <v>244.0</v>
      </c>
      <c r="F39" s="13" t="s">
        <v>99</v>
      </c>
      <c r="G39" s="13" t="s">
        <v>12</v>
      </c>
    </row>
    <row r="40" ht="15.75" customHeight="1">
      <c r="A40" s="14">
        <v>45629.0</v>
      </c>
      <c r="B40" s="8" t="str">
        <f t="shared" si="1"/>
        <v>Dec-24</v>
      </c>
      <c r="C40" s="13">
        <v>72.0</v>
      </c>
      <c r="D40" s="12" t="s">
        <v>17</v>
      </c>
      <c r="E40" s="13">
        <v>49.0</v>
      </c>
      <c r="F40" s="13" t="s">
        <v>99</v>
      </c>
      <c r="G40" s="13" t="s">
        <v>12</v>
      </c>
    </row>
    <row r="41" ht="15.75" customHeight="1">
      <c r="A41" s="14">
        <v>45629.0</v>
      </c>
      <c r="B41" s="8" t="str">
        <f t="shared" si="1"/>
        <v>Dec-24</v>
      </c>
      <c r="C41" s="13">
        <v>72.0</v>
      </c>
      <c r="D41" s="12" t="s">
        <v>11</v>
      </c>
      <c r="E41" s="13">
        <v>188.0</v>
      </c>
      <c r="F41" s="13" t="s">
        <v>99</v>
      </c>
      <c r="G41" s="13" t="s">
        <v>12</v>
      </c>
    </row>
    <row r="42" ht="15.75" customHeight="1">
      <c r="A42" s="14">
        <v>45629.0</v>
      </c>
      <c r="B42" s="8" t="str">
        <f t="shared" si="1"/>
        <v>Dec-24</v>
      </c>
      <c r="C42" s="13">
        <v>72.0</v>
      </c>
      <c r="D42" s="12" t="s">
        <v>14</v>
      </c>
      <c r="E42" s="13">
        <v>134.0</v>
      </c>
      <c r="F42" s="13" t="s">
        <v>99</v>
      </c>
      <c r="G42" s="13" t="s">
        <v>12</v>
      </c>
    </row>
    <row r="43" ht="15.75" customHeight="1">
      <c r="A43" s="14">
        <v>45629.0</v>
      </c>
      <c r="B43" s="8" t="str">
        <f t="shared" si="1"/>
        <v>Dec-24</v>
      </c>
      <c r="C43" s="13">
        <v>73.0</v>
      </c>
      <c r="D43" s="12" t="s">
        <v>11</v>
      </c>
      <c r="E43" s="13">
        <v>89.0</v>
      </c>
      <c r="F43" s="13" t="s">
        <v>99</v>
      </c>
      <c r="G43" s="13" t="s">
        <v>12</v>
      </c>
    </row>
    <row r="44" ht="15.75" customHeight="1">
      <c r="A44" s="14">
        <v>45629.0</v>
      </c>
      <c r="B44" s="8" t="str">
        <f t="shared" si="1"/>
        <v>Dec-24</v>
      </c>
      <c r="C44" s="13">
        <v>73.0</v>
      </c>
      <c r="D44" s="12" t="s">
        <v>17</v>
      </c>
      <c r="E44" s="13">
        <v>20.0</v>
      </c>
      <c r="F44" s="13" t="s">
        <v>99</v>
      </c>
      <c r="G44" s="13" t="s">
        <v>12</v>
      </c>
    </row>
    <row r="45" ht="15.75" customHeight="1">
      <c r="A45" s="14">
        <v>45629.0</v>
      </c>
      <c r="B45" s="8" t="str">
        <f t="shared" si="1"/>
        <v>Dec-24</v>
      </c>
      <c r="C45" s="13">
        <v>73.0</v>
      </c>
      <c r="D45" s="12" t="s">
        <v>14</v>
      </c>
      <c r="E45" s="13">
        <v>62.0</v>
      </c>
      <c r="F45" s="13" t="s">
        <v>99</v>
      </c>
      <c r="G45" s="13" t="s">
        <v>12</v>
      </c>
    </row>
    <row r="46" ht="15.75" customHeight="1">
      <c r="A46" s="14">
        <v>45630.0</v>
      </c>
      <c r="B46" s="8" t="str">
        <f t="shared" si="1"/>
        <v>Dec-24</v>
      </c>
      <c r="D46" s="12" t="s">
        <v>14</v>
      </c>
      <c r="E46" s="13">
        <v>133.0</v>
      </c>
      <c r="F46" s="13" t="s">
        <v>106</v>
      </c>
      <c r="G46" s="13" t="s">
        <v>12</v>
      </c>
    </row>
    <row r="47" ht="15.75" customHeight="1">
      <c r="A47" s="14">
        <v>45630.0</v>
      </c>
      <c r="B47" s="8" t="str">
        <f t="shared" si="1"/>
        <v>Dec-24</v>
      </c>
      <c r="C47" s="13">
        <v>73.0</v>
      </c>
      <c r="D47" s="12" t="s">
        <v>17</v>
      </c>
      <c r="E47" s="13">
        <v>209.0</v>
      </c>
      <c r="F47" s="13" t="s">
        <v>106</v>
      </c>
      <c r="G47" s="13" t="s">
        <v>12</v>
      </c>
    </row>
    <row r="48" ht="15.75" customHeight="1">
      <c r="A48" s="14">
        <v>45630.0</v>
      </c>
      <c r="B48" s="8" t="str">
        <f t="shared" si="1"/>
        <v>Dec-24</v>
      </c>
      <c r="C48" s="13">
        <v>73.0</v>
      </c>
      <c r="D48" s="12" t="s">
        <v>11</v>
      </c>
      <c r="E48" s="13">
        <v>160.0</v>
      </c>
      <c r="F48" s="13" t="s">
        <v>106</v>
      </c>
      <c r="G48" s="13" t="s">
        <v>12</v>
      </c>
    </row>
    <row r="49" ht="15.75" customHeight="1">
      <c r="A49" s="14">
        <v>45630.0</v>
      </c>
      <c r="B49" s="8" t="str">
        <f t="shared" si="1"/>
        <v>Dec-24</v>
      </c>
      <c r="C49" s="13">
        <v>73.0</v>
      </c>
      <c r="D49" s="12" t="s">
        <v>14</v>
      </c>
      <c r="E49" s="13">
        <v>286.0</v>
      </c>
      <c r="F49" s="13" t="s">
        <v>102</v>
      </c>
      <c r="G49" s="13" t="s">
        <v>12</v>
      </c>
    </row>
    <row r="50" ht="15.75" customHeight="1">
      <c r="A50" s="14">
        <v>45630.0</v>
      </c>
      <c r="B50" s="8" t="str">
        <f t="shared" si="1"/>
        <v>Dec-24</v>
      </c>
      <c r="C50" s="13">
        <v>73.0</v>
      </c>
      <c r="D50" s="12" t="s">
        <v>14</v>
      </c>
      <c r="E50" s="13">
        <v>236.0</v>
      </c>
      <c r="F50" s="13" t="s">
        <v>102</v>
      </c>
      <c r="G50" s="13" t="s">
        <v>12</v>
      </c>
    </row>
    <row r="51" ht="15.75" customHeight="1">
      <c r="A51" s="14">
        <v>45631.0</v>
      </c>
      <c r="B51" s="8" t="str">
        <f t="shared" si="1"/>
        <v>Dec-24</v>
      </c>
      <c r="C51" s="13">
        <v>73.0</v>
      </c>
      <c r="D51" s="12" t="s">
        <v>17</v>
      </c>
      <c r="E51" s="13">
        <v>329.0</v>
      </c>
      <c r="F51" s="13" t="s">
        <v>106</v>
      </c>
      <c r="G51" s="13" t="s">
        <v>12</v>
      </c>
    </row>
    <row r="52" ht="15.75" customHeight="1">
      <c r="A52" s="14">
        <v>45631.0</v>
      </c>
      <c r="B52" s="8" t="str">
        <f t="shared" si="1"/>
        <v>Dec-24</v>
      </c>
      <c r="C52" s="13">
        <v>73.0</v>
      </c>
      <c r="D52" s="12" t="s">
        <v>24</v>
      </c>
      <c r="E52" s="13">
        <v>72.0</v>
      </c>
      <c r="F52" s="13" t="s">
        <v>102</v>
      </c>
      <c r="G52" s="13" t="s">
        <v>12</v>
      </c>
    </row>
    <row r="53" ht="15.75" customHeight="1">
      <c r="A53" s="14">
        <v>45631.0</v>
      </c>
      <c r="B53" s="8" t="str">
        <f t="shared" si="1"/>
        <v>Dec-24</v>
      </c>
      <c r="C53" s="13">
        <v>73.0</v>
      </c>
      <c r="D53" s="12" t="s">
        <v>31</v>
      </c>
      <c r="E53" s="13">
        <v>132.0</v>
      </c>
      <c r="F53" s="13" t="s">
        <v>102</v>
      </c>
      <c r="G53" s="13" t="s">
        <v>12</v>
      </c>
    </row>
    <row r="54" ht="15.75" customHeight="1">
      <c r="A54" s="14">
        <v>45631.0</v>
      </c>
      <c r="B54" s="8" t="str">
        <f t="shared" si="1"/>
        <v>Dec-24</v>
      </c>
      <c r="C54" s="13">
        <v>73.0</v>
      </c>
      <c r="D54" s="12" t="s">
        <v>15</v>
      </c>
      <c r="E54" s="13">
        <v>86.0</v>
      </c>
      <c r="F54" s="13" t="s">
        <v>102</v>
      </c>
      <c r="G54" s="13" t="s">
        <v>12</v>
      </c>
    </row>
    <row r="55" ht="15.75" customHeight="1">
      <c r="A55" s="14">
        <v>45632.0</v>
      </c>
      <c r="B55" s="8" t="str">
        <f t="shared" si="1"/>
        <v>Dec-24</v>
      </c>
      <c r="C55" s="13">
        <v>73.0</v>
      </c>
      <c r="D55" s="12" t="s">
        <v>17</v>
      </c>
      <c r="E55" s="13">
        <v>329.0</v>
      </c>
      <c r="F55" s="13" t="s">
        <v>106</v>
      </c>
      <c r="G55" s="13" t="s">
        <v>12</v>
      </c>
    </row>
    <row r="56" ht="15.75" customHeight="1">
      <c r="A56" s="14">
        <v>45633.0</v>
      </c>
      <c r="B56" s="8" t="str">
        <f t="shared" si="1"/>
        <v>Dec-24</v>
      </c>
      <c r="D56" s="12" t="s">
        <v>14</v>
      </c>
      <c r="E56" s="13">
        <v>160.0</v>
      </c>
      <c r="F56" s="13" t="s">
        <v>106</v>
      </c>
      <c r="G56" s="13" t="s">
        <v>12</v>
      </c>
    </row>
    <row r="57" ht="15.75" customHeight="1">
      <c r="A57" s="14">
        <v>45633.0</v>
      </c>
      <c r="B57" s="8" t="str">
        <f t="shared" si="1"/>
        <v>Dec-24</v>
      </c>
      <c r="D57" s="12" t="s">
        <v>14</v>
      </c>
      <c r="E57" s="13">
        <v>132.0</v>
      </c>
      <c r="F57" s="13" t="s">
        <v>98</v>
      </c>
      <c r="G57" s="13" t="s">
        <v>12</v>
      </c>
    </row>
    <row r="58" ht="15.75" customHeight="1">
      <c r="A58" s="14">
        <v>45633.0</v>
      </c>
      <c r="B58" s="8" t="str">
        <f t="shared" si="1"/>
        <v>Dec-24</v>
      </c>
      <c r="D58" s="12" t="s">
        <v>15</v>
      </c>
      <c r="E58" s="13">
        <v>14.0</v>
      </c>
      <c r="F58" s="13" t="s">
        <v>98</v>
      </c>
      <c r="G58" s="13" t="s">
        <v>12</v>
      </c>
    </row>
    <row r="59" ht="15.75" customHeight="1">
      <c r="A59" s="14">
        <v>45635.0</v>
      </c>
      <c r="B59" s="8" t="str">
        <f t="shared" si="1"/>
        <v>Dec-24</v>
      </c>
      <c r="D59" s="12" t="s">
        <v>14</v>
      </c>
      <c r="E59" s="13">
        <v>118.0</v>
      </c>
      <c r="F59" s="13" t="s">
        <v>99</v>
      </c>
      <c r="G59" s="13" t="s">
        <v>12</v>
      </c>
    </row>
    <row r="60" ht="15.75" customHeight="1">
      <c r="A60" s="14">
        <v>45635.0</v>
      </c>
      <c r="B60" s="8" t="str">
        <f t="shared" si="1"/>
        <v>Dec-24</v>
      </c>
      <c r="D60" s="12" t="s">
        <v>17</v>
      </c>
      <c r="E60" s="13">
        <v>154.0</v>
      </c>
      <c r="F60" s="13" t="s">
        <v>99</v>
      </c>
      <c r="G60" s="13" t="s">
        <v>12</v>
      </c>
    </row>
    <row r="61" ht="15.75" customHeight="1">
      <c r="A61" s="14">
        <v>45635.0</v>
      </c>
      <c r="B61" s="8" t="str">
        <f t="shared" si="1"/>
        <v>Dec-24</v>
      </c>
      <c r="D61" s="12" t="s">
        <v>31</v>
      </c>
      <c r="E61" s="13">
        <v>116.0</v>
      </c>
      <c r="F61" s="13" t="s">
        <v>99</v>
      </c>
      <c r="G61" s="13" t="s">
        <v>12</v>
      </c>
    </row>
    <row r="62" ht="15.75" customHeight="1">
      <c r="A62" s="14">
        <v>45636.0</v>
      </c>
      <c r="B62" s="8" t="str">
        <f t="shared" si="1"/>
        <v>Dec-24</v>
      </c>
      <c r="D62" s="12" t="s">
        <v>14</v>
      </c>
      <c r="E62" s="13">
        <v>359.0</v>
      </c>
      <c r="F62" s="13" t="s">
        <v>106</v>
      </c>
      <c r="G62" s="13" t="s">
        <v>12</v>
      </c>
    </row>
    <row r="63" ht="15.75" customHeight="1">
      <c r="A63" s="14">
        <v>45636.0</v>
      </c>
      <c r="B63" s="8" t="str">
        <f t="shared" si="1"/>
        <v>Dec-24</v>
      </c>
      <c r="D63" s="12" t="s">
        <v>15</v>
      </c>
      <c r="E63" s="13">
        <v>39.0</v>
      </c>
      <c r="F63" s="13" t="s">
        <v>99</v>
      </c>
      <c r="G63" s="13" t="s">
        <v>12</v>
      </c>
    </row>
    <row r="64" ht="15.75" customHeight="1">
      <c r="A64" s="14">
        <v>45636.0</v>
      </c>
      <c r="B64" s="8" t="str">
        <f t="shared" si="1"/>
        <v>Dec-24</v>
      </c>
      <c r="D64" s="12" t="s">
        <v>14</v>
      </c>
      <c r="E64" s="13">
        <v>159.0</v>
      </c>
      <c r="F64" s="13" t="s">
        <v>99</v>
      </c>
      <c r="G64" s="13" t="s">
        <v>12</v>
      </c>
    </row>
    <row r="65" ht="15.75" customHeight="1">
      <c r="A65" s="14">
        <v>45637.0</v>
      </c>
      <c r="B65" s="8" t="str">
        <f t="shared" si="1"/>
        <v>Dec-24</v>
      </c>
      <c r="D65" s="12" t="s">
        <v>14</v>
      </c>
      <c r="E65" s="13">
        <v>257.0</v>
      </c>
      <c r="F65" s="13" t="s">
        <v>106</v>
      </c>
      <c r="G65" s="13" t="s">
        <v>12</v>
      </c>
    </row>
    <row r="66" ht="15.75" customHeight="1">
      <c r="A66" s="14">
        <v>45638.0</v>
      </c>
      <c r="B66" s="8" t="str">
        <f t="shared" si="1"/>
        <v>Dec-24</v>
      </c>
      <c r="D66" s="12" t="s">
        <v>14</v>
      </c>
      <c r="E66" s="13">
        <v>480.0</v>
      </c>
      <c r="F66" s="13" t="s">
        <v>106</v>
      </c>
      <c r="G66" s="13" t="s">
        <v>12</v>
      </c>
    </row>
    <row r="67" ht="15.75" customHeight="1">
      <c r="A67" s="14">
        <v>45639.0</v>
      </c>
      <c r="B67" s="8" t="str">
        <f t="shared" si="1"/>
        <v>Dec-24</v>
      </c>
      <c r="D67" s="12" t="s">
        <v>14</v>
      </c>
      <c r="E67" s="13">
        <v>283.0</v>
      </c>
      <c r="F67" s="13" t="s">
        <v>106</v>
      </c>
      <c r="G67" s="13" t="s">
        <v>12</v>
      </c>
    </row>
    <row r="68" ht="15.75" customHeight="1">
      <c r="A68" s="14">
        <v>45639.0</v>
      </c>
      <c r="B68" s="8" t="str">
        <f t="shared" si="1"/>
        <v>Dec-24</v>
      </c>
      <c r="C68" s="13">
        <v>74.0</v>
      </c>
      <c r="D68" s="12" t="s">
        <v>11</v>
      </c>
      <c r="E68" s="13">
        <v>351.0</v>
      </c>
      <c r="F68" s="13" t="s">
        <v>102</v>
      </c>
      <c r="G68" s="13" t="s">
        <v>12</v>
      </c>
    </row>
    <row r="69" ht="15.75" customHeight="1">
      <c r="A69" s="14">
        <v>45640.0</v>
      </c>
      <c r="B69" s="8" t="str">
        <f t="shared" si="1"/>
        <v>Dec-24</v>
      </c>
      <c r="C69" s="13">
        <v>74.0</v>
      </c>
      <c r="D69" s="12" t="s">
        <v>14</v>
      </c>
      <c r="E69" s="13">
        <v>252.0</v>
      </c>
      <c r="F69" s="13" t="s">
        <v>102</v>
      </c>
      <c r="G69" s="13" t="s">
        <v>12</v>
      </c>
    </row>
    <row r="70" ht="15.75" customHeight="1">
      <c r="A70" s="14">
        <v>45642.0</v>
      </c>
      <c r="B70" s="8" t="str">
        <f t="shared" si="1"/>
        <v>Dec-24</v>
      </c>
      <c r="D70" s="12" t="s">
        <v>14</v>
      </c>
      <c r="E70" s="13">
        <v>356.0</v>
      </c>
      <c r="F70" s="13" t="s">
        <v>106</v>
      </c>
      <c r="G70" s="13" t="s">
        <v>12</v>
      </c>
    </row>
    <row r="71" ht="15.75" customHeight="1">
      <c r="A71" s="14">
        <v>45646.0</v>
      </c>
      <c r="B71" s="8" t="str">
        <f t="shared" si="1"/>
        <v>Dec-24</v>
      </c>
      <c r="C71" s="13">
        <v>74.0</v>
      </c>
      <c r="D71" s="12" t="s">
        <v>17</v>
      </c>
      <c r="E71" s="13">
        <v>874.0</v>
      </c>
      <c r="F71" s="13" t="s">
        <v>102</v>
      </c>
      <c r="G71" s="13" t="s">
        <v>12</v>
      </c>
    </row>
    <row r="72" ht="15.75" customHeight="1">
      <c r="A72" s="14">
        <v>45646.0</v>
      </c>
      <c r="B72" s="8" t="str">
        <f t="shared" si="1"/>
        <v>Dec-24</v>
      </c>
      <c r="C72" s="13">
        <v>74.0</v>
      </c>
      <c r="D72" s="12" t="s">
        <v>24</v>
      </c>
      <c r="E72" s="13">
        <v>52.0</v>
      </c>
      <c r="F72" s="13" t="s">
        <v>102</v>
      </c>
      <c r="G72" s="13" t="s">
        <v>12</v>
      </c>
    </row>
    <row r="73" ht="15.75" customHeight="1">
      <c r="A73" s="14">
        <v>45646.0</v>
      </c>
      <c r="B73" s="8" t="str">
        <f t="shared" si="1"/>
        <v>Dec-24</v>
      </c>
      <c r="C73" s="13">
        <v>74.0</v>
      </c>
      <c r="D73" s="12" t="s">
        <v>15</v>
      </c>
      <c r="E73" s="13">
        <v>46.0</v>
      </c>
      <c r="F73" s="13" t="s">
        <v>102</v>
      </c>
      <c r="G73" s="13" t="s">
        <v>12</v>
      </c>
    </row>
    <row r="74" ht="15.75" customHeight="1">
      <c r="A74" s="14">
        <v>45646.0</v>
      </c>
      <c r="B74" s="8" t="str">
        <f t="shared" si="1"/>
        <v>Dec-24</v>
      </c>
      <c r="C74" s="13">
        <v>74.0</v>
      </c>
      <c r="D74" s="12" t="s">
        <v>31</v>
      </c>
      <c r="E74" s="13">
        <v>104.0</v>
      </c>
      <c r="F74" s="13" t="s">
        <v>102</v>
      </c>
      <c r="G74" s="13" t="s">
        <v>12</v>
      </c>
    </row>
    <row r="75" ht="15.75" customHeight="1">
      <c r="A75" s="14">
        <v>45646.0</v>
      </c>
      <c r="B75" s="8" t="str">
        <f t="shared" si="1"/>
        <v>Dec-24</v>
      </c>
      <c r="C75" s="13">
        <v>74.0</v>
      </c>
      <c r="D75" s="12" t="s">
        <v>11</v>
      </c>
      <c r="E75" s="13">
        <v>160.0</v>
      </c>
      <c r="F75" s="13" t="s">
        <v>106</v>
      </c>
      <c r="G75" s="13" t="s">
        <v>12</v>
      </c>
    </row>
    <row r="76" ht="15.75" customHeight="1">
      <c r="A76" s="14">
        <v>45647.0</v>
      </c>
      <c r="B76" s="8" t="str">
        <f t="shared" si="1"/>
        <v>Dec-24</v>
      </c>
      <c r="D76" s="12" t="s">
        <v>17</v>
      </c>
      <c r="E76" s="13">
        <v>410.0</v>
      </c>
      <c r="F76" s="13" t="s">
        <v>106</v>
      </c>
      <c r="G76" s="13" t="s">
        <v>12</v>
      </c>
    </row>
    <row r="77" ht="15.75" customHeight="1">
      <c r="A77" s="14">
        <v>45647.0</v>
      </c>
      <c r="B77" s="8" t="str">
        <f t="shared" si="1"/>
        <v>Dec-24</v>
      </c>
      <c r="D77" s="12" t="s">
        <v>17</v>
      </c>
      <c r="E77" s="13">
        <v>116.0</v>
      </c>
      <c r="F77" s="13" t="s">
        <v>99</v>
      </c>
      <c r="G77" s="13" t="s">
        <v>12</v>
      </c>
    </row>
    <row r="78" ht="15.75" customHeight="1">
      <c r="A78" s="14">
        <v>45647.0</v>
      </c>
      <c r="B78" s="8" t="str">
        <f t="shared" si="1"/>
        <v>Dec-24</v>
      </c>
      <c r="D78" s="12" t="s">
        <v>14</v>
      </c>
      <c r="E78" s="13">
        <v>365.0</v>
      </c>
      <c r="F78" s="13" t="s">
        <v>99</v>
      </c>
      <c r="G78" s="13" t="s">
        <v>12</v>
      </c>
    </row>
    <row r="79" ht="15.75" customHeight="1">
      <c r="A79" s="14">
        <v>45650.0</v>
      </c>
      <c r="B79" s="8" t="str">
        <f t="shared" si="1"/>
        <v>Dec-24</v>
      </c>
      <c r="D79" s="12" t="s">
        <v>11</v>
      </c>
      <c r="E79" s="13">
        <v>250.0</v>
      </c>
      <c r="F79" s="13" t="s">
        <v>102</v>
      </c>
      <c r="G79" s="13" t="s">
        <v>12</v>
      </c>
    </row>
    <row r="80" ht="15.75" customHeight="1">
      <c r="A80" s="14">
        <v>45650.0</v>
      </c>
      <c r="B80" s="8" t="str">
        <f t="shared" si="1"/>
        <v>Dec-24</v>
      </c>
      <c r="D80" s="12" t="s">
        <v>14</v>
      </c>
      <c r="E80" s="13">
        <v>340.0</v>
      </c>
      <c r="F80" s="13" t="s">
        <v>102</v>
      </c>
      <c r="G80" s="13" t="s">
        <v>12</v>
      </c>
    </row>
    <row r="81" ht="15.75" customHeight="1">
      <c r="A81" s="14">
        <v>45652.0</v>
      </c>
      <c r="B81" s="8" t="str">
        <f t="shared" si="1"/>
        <v>Dec-24</v>
      </c>
      <c r="D81" s="12" t="s">
        <v>31</v>
      </c>
      <c r="E81" s="13">
        <v>547.0</v>
      </c>
      <c r="F81" s="13" t="s">
        <v>106</v>
      </c>
      <c r="G81" s="13" t="s">
        <v>12</v>
      </c>
    </row>
    <row r="82" ht="15.75" customHeight="1">
      <c r="A82" s="14">
        <v>45654.0</v>
      </c>
      <c r="B82" s="8" t="str">
        <f t="shared" si="1"/>
        <v>Dec-24</v>
      </c>
      <c r="D82" s="12" t="s">
        <v>14</v>
      </c>
      <c r="E82" s="13">
        <v>87.0</v>
      </c>
      <c r="F82" s="13" t="s">
        <v>98</v>
      </c>
      <c r="G82" s="13" t="s">
        <v>12</v>
      </c>
    </row>
    <row r="83" ht="15.75" customHeight="1">
      <c r="A83" s="14">
        <v>45657.0</v>
      </c>
      <c r="B83" s="8" t="str">
        <f t="shared" si="1"/>
        <v>Dec-24</v>
      </c>
      <c r="C83" s="13" t="s">
        <v>40</v>
      </c>
      <c r="D83" s="12" t="s">
        <v>11</v>
      </c>
      <c r="E83" s="13">
        <v>221.0</v>
      </c>
      <c r="F83" s="13" t="s">
        <v>102</v>
      </c>
      <c r="G83" s="13" t="s">
        <v>12</v>
      </c>
    </row>
    <row r="84" ht="15.75" customHeight="1">
      <c r="A84" s="14">
        <v>45657.0</v>
      </c>
      <c r="B84" s="8" t="str">
        <f t="shared" si="1"/>
        <v>Dec-24</v>
      </c>
      <c r="C84" s="13" t="s">
        <v>40</v>
      </c>
      <c r="D84" s="12" t="s">
        <v>11</v>
      </c>
      <c r="E84" s="13">
        <v>235.0</v>
      </c>
      <c r="F84" s="13" t="s">
        <v>104</v>
      </c>
      <c r="G84" s="13" t="s">
        <v>12</v>
      </c>
    </row>
    <row r="85" ht="15.75" customHeight="1">
      <c r="A85" s="14">
        <v>45657.0</v>
      </c>
      <c r="B85" s="8" t="str">
        <f t="shared" si="1"/>
        <v>Dec-24</v>
      </c>
      <c r="C85" s="13" t="s">
        <v>40</v>
      </c>
      <c r="D85" s="12" t="s">
        <v>17</v>
      </c>
      <c r="E85" s="13">
        <v>118.0</v>
      </c>
      <c r="F85" s="13" t="s">
        <v>104</v>
      </c>
      <c r="G85" s="13" t="s">
        <v>12</v>
      </c>
    </row>
    <row r="86" ht="15.75" customHeight="1">
      <c r="A86" s="14">
        <v>45657.0</v>
      </c>
      <c r="B86" s="8" t="str">
        <f t="shared" si="1"/>
        <v>Dec-24</v>
      </c>
      <c r="C86" s="13" t="s">
        <v>40</v>
      </c>
      <c r="D86" s="12" t="s">
        <v>11</v>
      </c>
      <c r="E86" s="13">
        <v>350.0</v>
      </c>
      <c r="F86" s="13" t="s">
        <v>99</v>
      </c>
      <c r="G86" s="13" t="s">
        <v>12</v>
      </c>
    </row>
    <row r="87" ht="15.75" customHeight="1">
      <c r="A87" s="14">
        <v>45659.0</v>
      </c>
      <c r="B87" s="8" t="str">
        <f t="shared" si="1"/>
        <v>Jan-25</v>
      </c>
      <c r="C87" s="13" t="s">
        <v>40</v>
      </c>
      <c r="D87" s="12" t="s">
        <v>14</v>
      </c>
      <c r="E87" s="13">
        <v>383.0</v>
      </c>
      <c r="F87" s="13" t="s">
        <v>102</v>
      </c>
      <c r="G87" s="13" t="s">
        <v>12</v>
      </c>
    </row>
    <row r="88" ht="15.75" customHeight="1">
      <c r="A88" s="14">
        <v>45660.0</v>
      </c>
      <c r="B88" s="8" t="str">
        <f t="shared" si="1"/>
        <v>Jan-25</v>
      </c>
      <c r="C88" s="13" t="s">
        <v>40</v>
      </c>
      <c r="D88" s="12" t="s">
        <v>11</v>
      </c>
      <c r="E88" s="13">
        <v>177.0</v>
      </c>
      <c r="F88" s="13" t="s">
        <v>102</v>
      </c>
      <c r="G88" s="13" t="s">
        <v>12</v>
      </c>
    </row>
    <row r="89" ht="15.75" customHeight="1">
      <c r="A89" s="14">
        <v>45660.0</v>
      </c>
      <c r="B89" s="8" t="str">
        <f t="shared" si="1"/>
        <v>Jan-25</v>
      </c>
      <c r="C89" s="13" t="s">
        <v>40</v>
      </c>
      <c r="D89" s="12" t="s">
        <v>14</v>
      </c>
      <c r="E89" s="13">
        <v>536.0</v>
      </c>
      <c r="F89" s="13" t="s">
        <v>102</v>
      </c>
      <c r="G89" s="13" t="s">
        <v>12</v>
      </c>
    </row>
    <row r="90" ht="15.75" customHeight="1">
      <c r="A90" s="14">
        <v>45661.0</v>
      </c>
      <c r="B90" s="8" t="str">
        <f t="shared" si="1"/>
        <v>Jan-25</v>
      </c>
      <c r="D90" s="12" t="s">
        <v>11</v>
      </c>
      <c r="E90" s="13">
        <v>281.0</v>
      </c>
      <c r="F90" s="13" t="s">
        <v>106</v>
      </c>
      <c r="G90" s="13" t="s">
        <v>12</v>
      </c>
    </row>
    <row r="91" ht="15.75" customHeight="1">
      <c r="A91" s="14">
        <v>45661.0</v>
      </c>
      <c r="B91" s="8" t="str">
        <f t="shared" si="1"/>
        <v>Jan-25</v>
      </c>
      <c r="D91" s="12" t="s">
        <v>15</v>
      </c>
      <c r="E91" s="13">
        <v>115.0</v>
      </c>
      <c r="F91" s="13" t="s">
        <v>102</v>
      </c>
      <c r="G91" s="13" t="s">
        <v>12</v>
      </c>
    </row>
    <row r="92" ht="15.75" customHeight="1">
      <c r="A92" s="14">
        <v>45661.0</v>
      </c>
      <c r="B92" s="8" t="str">
        <f t="shared" si="1"/>
        <v>Jan-25</v>
      </c>
      <c r="D92" s="12" t="s">
        <v>24</v>
      </c>
      <c r="E92" s="13">
        <v>128.0</v>
      </c>
      <c r="F92" s="13" t="s">
        <v>102</v>
      </c>
      <c r="G92" s="13" t="s">
        <v>12</v>
      </c>
    </row>
    <row r="93" ht="15.75" customHeight="1">
      <c r="A93" s="14">
        <v>45661.0</v>
      </c>
      <c r="B93" s="8" t="str">
        <f t="shared" si="1"/>
        <v>Jan-25</v>
      </c>
      <c r="D93" s="12" t="s">
        <v>14</v>
      </c>
      <c r="E93" s="13">
        <v>76.0</v>
      </c>
      <c r="F93" s="13" t="s">
        <v>98</v>
      </c>
      <c r="G93" s="13" t="s">
        <v>12</v>
      </c>
    </row>
    <row r="94" ht="15.75" customHeight="1">
      <c r="A94" s="14">
        <v>45661.0</v>
      </c>
      <c r="B94" s="8" t="str">
        <f t="shared" si="1"/>
        <v>Jan-25</v>
      </c>
      <c r="D94" s="12" t="s">
        <v>14</v>
      </c>
      <c r="E94" s="13">
        <v>97.0</v>
      </c>
      <c r="F94" s="13" t="s">
        <v>102</v>
      </c>
      <c r="G94" s="13" t="s">
        <v>12</v>
      </c>
    </row>
    <row r="95" ht="15.75" customHeight="1">
      <c r="A95" s="14">
        <v>45663.0</v>
      </c>
      <c r="B95" s="8" t="str">
        <f t="shared" si="1"/>
        <v>Jan-25</v>
      </c>
      <c r="D95" s="12" t="s">
        <v>11</v>
      </c>
      <c r="E95" s="13">
        <v>860.0</v>
      </c>
      <c r="F95" s="13" t="s">
        <v>99</v>
      </c>
      <c r="G95" s="13" t="s">
        <v>12</v>
      </c>
    </row>
    <row r="96" ht="15.75" customHeight="1">
      <c r="A96" s="14">
        <v>45663.0</v>
      </c>
      <c r="B96" s="8" t="str">
        <f t="shared" si="1"/>
        <v>Jan-25</v>
      </c>
      <c r="D96" s="12" t="s">
        <v>17</v>
      </c>
      <c r="E96" s="13">
        <v>100.0</v>
      </c>
      <c r="F96" s="13" t="s">
        <v>99</v>
      </c>
      <c r="G96" s="13" t="s">
        <v>12</v>
      </c>
    </row>
    <row r="97" ht="15.75" customHeight="1">
      <c r="A97" s="14">
        <v>45663.0</v>
      </c>
      <c r="B97" s="8" t="str">
        <f t="shared" si="1"/>
        <v>Jan-25</v>
      </c>
      <c r="D97" s="12" t="s">
        <v>14</v>
      </c>
      <c r="E97" s="13">
        <v>160.0</v>
      </c>
      <c r="F97" s="13" t="s">
        <v>99</v>
      </c>
      <c r="G97" s="13" t="s">
        <v>12</v>
      </c>
    </row>
    <row r="98" ht="15.75" customHeight="1">
      <c r="A98" s="14">
        <v>45664.0</v>
      </c>
      <c r="B98" s="8" t="str">
        <f t="shared" si="1"/>
        <v>Jan-25</v>
      </c>
      <c r="D98" s="12" t="s">
        <v>17</v>
      </c>
      <c r="E98" s="13">
        <v>207.0</v>
      </c>
      <c r="F98" s="13" t="s">
        <v>99</v>
      </c>
      <c r="G98" s="13" t="s">
        <v>12</v>
      </c>
    </row>
    <row r="99" ht="15.75" customHeight="1">
      <c r="A99" s="14">
        <v>45664.0</v>
      </c>
      <c r="B99" s="8" t="str">
        <f t="shared" si="1"/>
        <v>Jan-25</v>
      </c>
      <c r="D99" s="12" t="s">
        <v>14</v>
      </c>
      <c r="E99" s="13">
        <v>848.0</v>
      </c>
      <c r="F99" s="13" t="s">
        <v>102</v>
      </c>
      <c r="G99" s="13" t="s">
        <v>12</v>
      </c>
    </row>
    <row r="100" ht="15.75" customHeight="1">
      <c r="A100" s="14">
        <v>45664.0</v>
      </c>
      <c r="B100" s="8" t="str">
        <f t="shared" si="1"/>
        <v>Jan-25</v>
      </c>
      <c r="D100" s="12" t="s">
        <v>17</v>
      </c>
      <c r="E100" s="13">
        <v>203.0</v>
      </c>
      <c r="F100" s="13" t="s">
        <v>102</v>
      </c>
      <c r="G100" s="13" t="s">
        <v>12</v>
      </c>
    </row>
    <row r="101" ht="15.75" customHeight="1">
      <c r="A101" s="14">
        <v>45665.0</v>
      </c>
      <c r="B101" s="8" t="str">
        <f t="shared" si="1"/>
        <v>Jan-25</v>
      </c>
      <c r="D101" s="12" t="s">
        <v>14</v>
      </c>
      <c r="E101" s="13">
        <v>250.0</v>
      </c>
      <c r="F101" s="13" t="s">
        <v>106</v>
      </c>
      <c r="G101" s="13" t="s">
        <v>12</v>
      </c>
    </row>
    <row r="102" ht="15.75" customHeight="1">
      <c r="A102" s="14">
        <v>45665.0</v>
      </c>
      <c r="B102" s="8" t="str">
        <f t="shared" si="1"/>
        <v>Jan-25</v>
      </c>
      <c r="D102" s="12" t="s">
        <v>14</v>
      </c>
      <c r="E102" s="13">
        <v>8.0</v>
      </c>
      <c r="F102" s="13" t="s">
        <v>98</v>
      </c>
      <c r="G102" s="13" t="s">
        <v>12</v>
      </c>
    </row>
    <row r="103" ht="15.75" customHeight="1">
      <c r="A103" s="14">
        <v>45665.0</v>
      </c>
      <c r="B103" s="8" t="str">
        <f t="shared" si="1"/>
        <v>Jan-25</v>
      </c>
      <c r="D103" s="12" t="s">
        <v>11</v>
      </c>
      <c r="E103" s="13">
        <v>70.0</v>
      </c>
      <c r="F103" s="13" t="s">
        <v>98</v>
      </c>
      <c r="G103" s="13" t="s">
        <v>12</v>
      </c>
    </row>
    <row r="104" ht="15.75" customHeight="1">
      <c r="A104" s="14">
        <v>45665.0</v>
      </c>
      <c r="B104" s="8" t="str">
        <f t="shared" si="1"/>
        <v>Jan-25</v>
      </c>
      <c r="D104" s="12" t="s">
        <v>17</v>
      </c>
      <c r="E104" s="13">
        <v>20.0</v>
      </c>
      <c r="F104" s="13" t="s">
        <v>98</v>
      </c>
      <c r="G104" s="13" t="s">
        <v>12</v>
      </c>
    </row>
    <row r="105" ht="15.75" customHeight="1">
      <c r="A105" s="14">
        <v>45665.0</v>
      </c>
      <c r="B105" s="8" t="str">
        <f t="shared" si="1"/>
        <v>Jan-25</v>
      </c>
      <c r="D105" s="12" t="s">
        <v>15</v>
      </c>
      <c r="E105" s="13">
        <v>20.0</v>
      </c>
      <c r="F105" s="13" t="s">
        <v>98</v>
      </c>
      <c r="G105" s="13" t="s">
        <v>12</v>
      </c>
    </row>
    <row r="106" ht="15.75" customHeight="1">
      <c r="A106" s="14">
        <v>45666.0</v>
      </c>
      <c r="B106" s="8" t="str">
        <f t="shared" si="1"/>
        <v>Jan-25</v>
      </c>
      <c r="D106" s="12" t="s">
        <v>14</v>
      </c>
      <c r="E106" s="13">
        <v>150.0</v>
      </c>
      <c r="F106" s="13" t="s">
        <v>99</v>
      </c>
      <c r="G106" s="13" t="s">
        <v>12</v>
      </c>
    </row>
    <row r="107" ht="15.75" customHeight="1">
      <c r="A107" s="14">
        <v>45666.0</v>
      </c>
      <c r="B107" s="8" t="str">
        <f t="shared" si="1"/>
        <v>Jan-25</v>
      </c>
      <c r="D107" s="12" t="s">
        <v>14</v>
      </c>
      <c r="E107" s="13">
        <v>36.0</v>
      </c>
      <c r="F107" s="13" t="s">
        <v>106</v>
      </c>
      <c r="G107" s="13" t="s">
        <v>12</v>
      </c>
    </row>
    <row r="108" ht="15.75" customHeight="1">
      <c r="A108" s="14">
        <v>45666.0</v>
      </c>
      <c r="B108" s="8" t="str">
        <f t="shared" si="1"/>
        <v>Jan-25</v>
      </c>
      <c r="D108" s="12" t="s">
        <v>31</v>
      </c>
      <c r="E108" s="13">
        <v>175.0</v>
      </c>
      <c r="F108" s="13" t="s">
        <v>99</v>
      </c>
      <c r="G108" s="13" t="s">
        <v>12</v>
      </c>
    </row>
    <row r="109" ht="15.75" customHeight="1">
      <c r="A109" s="14">
        <v>45666.0</v>
      </c>
      <c r="B109" s="8" t="str">
        <f t="shared" si="1"/>
        <v>Jan-25</v>
      </c>
      <c r="D109" s="12" t="s">
        <v>11</v>
      </c>
      <c r="E109" s="13">
        <v>344.0</v>
      </c>
      <c r="F109" s="13" t="s">
        <v>99</v>
      </c>
      <c r="G109" s="13" t="s">
        <v>12</v>
      </c>
    </row>
    <row r="110" ht="15.75" customHeight="1">
      <c r="A110" s="14">
        <v>45667.0</v>
      </c>
      <c r="B110" s="8" t="str">
        <f t="shared" si="1"/>
        <v>Jan-25</v>
      </c>
      <c r="D110" s="12" t="s">
        <v>17</v>
      </c>
      <c r="E110" s="13">
        <v>211.0</v>
      </c>
      <c r="F110" s="13" t="s">
        <v>106</v>
      </c>
      <c r="G110" s="13" t="s">
        <v>12</v>
      </c>
    </row>
    <row r="111" ht="15.75" customHeight="1">
      <c r="A111" s="14">
        <v>45667.0</v>
      </c>
      <c r="B111" s="8" t="str">
        <f t="shared" si="1"/>
        <v>Jan-25</v>
      </c>
      <c r="D111" s="12" t="s">
        <v>31</v>
      </c>
      <c r="E111" s="13">
        <v>326.0</v>
      </c>
      <c r="F111" s="13" t="s">
        <v>106</v>
      </c>
      <c r="G111" s="13" t="s">
        <v>12</v>
      </c>
    </row>
    <row r="112" ht="15.75" customHeight="1">
      <c r="A112" s="14">
        <v>45668.0</v>
      </c>
      <c r="B112" s="8" t="str">
        <f t="shared" si="1"/>
        <v>Jan-25</v>
      </c>
      <c r="D112" s="12" t="s">
        <v>31</v>
      </c>
      <c r="E112" s="13">
        <v>181.0</v>
      </c>
      <c r="F112" s="13" t="s">
        <v>106</v>
      </c>
      <c r="G112" s="13" t="s">
        <v>12</v>
      </c>
    </row>
    <row r="113" ht="15.75" customHeight="1">
      <c r="A113" s="14">
        <v>45668.0</v>
      </c>
      <c r="B113" s="8" t="str">
        <f t="shared" si="1"/>
        <v>Jan-25</v>
      </c>
      <c r="D113" s="12" t="s">
        <v>14</v>
      </c>
      <c r="E113" s="13">
        <v>105.0</v>
      </c>
      <c r="F113" s="13" t="s">
        <v>99</v>
      </c>
      <c r="G113" s="13" t="s">
        <v>12</v>
      </c>
    </row>
    <row r="114" ht="15.75" customHeight="1">
      <c r="A114" s="14">
        <v>45668.0</v>
      </c>
      <c r="B114" s="8" t="str">
        <f t="shared" si="1"/>
        <v>Jan-25</v>
      </c>
      <c r="D114" s="12" t="s">
        <v>31</v>
      </c>
      <c r="E114" s="13">
        <v>245.0</v>
      </c>
      <c r="F114" s="13" t="s">
        <v>99</v>
      </c>
      <c r="G114" s="13" t="s">
        <v>12</v>
      </c>
    </row>
    <row r="115" ht="15.75" customHeight="1">
      <c r="A115" s="14">
        <v>45670.0</v>
      </c>
      <c r="B115" s="8" t="str">
        <f t="shared" si="1"/>
        <v>Jan-25</v>
      </c>
      <c r="D115" s="12" t="s">
        <v>11</v>
      </c>
      <c r="E115" s="13">
        <v>900.0</v>
      </c>
      <c r="F115" s="13" t="s">
        <v>99</v>
      </c>
      <c r="G115" s="13" t="s">
        <v>12</v>
      </c>
      <c r="H115" s="13" t="s">
        <v>39</v>
      </c>
    </row>
    <row r="116" ht="15.75" customHeight="1">
      <c r="A116" s="14">
        <v>45670.0</v>
      </c>
      <c r="B116" s="8" t="str">
        <f t="shared" si="1"/>
        <v>Jan-25</v>
      </c>
      <c r="D116" s="12" t="s">
        <v>15</v>
      </c>
      <c r="E116" s="13">
        <v>65.0</v>
      </c>
      <c r="F116" s="13" t="s">
        <v>106</v>
      </c>
      <c r="G116" s="13" t="s">
        <v>12</v>
      </c>
    </row>
    <row r="117" ht="15.75" customHeight="1">
      <c r="A117" s="14">
        <v>45670.0</v>
      </c>
      <c r="B117" s="8" t="str">
        <f t="shared" si="1"/>
        <v>Jan-25</v>
      </c>
      <c r="D117" s="12" t="s">
        <v>31</v>
      </c>
      <c r="E117" s="13">
        <v>116.0</v>
      </c>
      <c r="F117" s="13" t="s">
        <v>106</v>
      </c>
      <c r="G117" s="13" t="s">
        <v>12</v>
      </c>
    </row>
    <row r="118" ht="15.75" customHeight="1">
      <c r="A118" s="14">
        <v>45670.0</v>
      </c>
      <c r="B118" s="8" t="str">
        <f t="shared" si="1"/>
        <v>Jan-25</v>
      </c>
      <c r="D118" s="12" t="s">
        <v>14</v>
      </c>
      <c r="E118" s="13">
        <v>104.0</v>
      </c>
      <c r="F118" s="13" t="s">
        <v>106</v>
      </c>
      <c r="G118" s="13" t="s">
        <v>12</v>
      </c>
    </row>
    <row r="119" ht="15.75" customHeight="1">
      <c r="A119" s="14">
        <v>45671.0</v>
      </c>
      <c r="B119" s="8" t="str">
        <f t="shared" si="1"/>
        <v>Jan-25</v>
      </c>
      <c r="D119" s="12" t="s">
        <v>15</v>
      </c>
      <c r="E119" s="13">
        <v>90.0</v>
      </c>
      <c r="F119" s="13" t="s">
        <v>106</v>
      </c>
      <c r="G119" s="13" t="s">
        <v>12</v>
      </c>
    </row>
    <row r="120" ht="15.75" customHeight="1">
      <c r="A120" s="14">
        <v>45671.0</v>
      </c>
      <c r="B120" s="8" t="str">
        <f t="shared" si="1"/>
        <v>Jan-25</v>
      </c>
      <c r="D120" s="12" t="s">
        <v>14</v>
      </c>
      <c r="E120" s="13">
        <v>342.0</v>
      </c>
      <c r="F120" s="13" t="s">
        <v>102</v>
      </c>
      <c r="G120" s="13" t="s">
        <v>12</v>
      </c>
    </row>
    <row r="121" ht="15.75" customHeight="1">
      <c r="A121" s="14">
        <v>45671.0</v>
      </c>
      <c r="B121" s="8" t="str">
        <f t="shared" si="1"/>
        <v>Jan-25</v>
      </c>
      <c r="D121" s="12" t="s">
        <v>31</v>
      </c>
      <c r="E121" s="13">
        <v>140.0</v>
      </c>
      <c r="F121" s="13" t="s">
        <v>99</v>
      </c>
      <c r="G121" s="13" t="s">
        <v>12</v>
      </c>
    </row>
    <row r="122" ht="15.75" customHeight="1">
      <c r="A122" s="14">
        <v>45671.0</v>
      </c>
      <c r="B122" s="8" t="str">
        <f t="shared" si="1"/>
        <v>Jan-25</v>
      </c>
      <c r="D122" s="12" t="s">
        <v>28</v>
      </c>
      <c r="E122" s="13">
        <v>65.0</v>
      </c>
      <c r="F122" s="13" t="s">
        <v>99</v>
      </c>
      <c r="G122" s="13" t="s">
        <v>12</v>
      </c>
    </row>
    <row r="123" ht="15.75" customHeight="1">
      <c r="A123" s="14">
        <v>45672.0</v>
      </c>
      <c r="B123" s="8" t="str">
        <f t="shared" si="1"/>
        <v>Jan-25</v>
      </c>
      <c r="D123" s="12" t="s">
        <v>11</v>
      </c>
      <c r="E123" s="13">
        <v>438.0</v>
      </c>
      <c r="F123" s="13" t="s">
        <v>102</v>
      </c>
      <c r="G123" s="13" t="s">
        <v>12</v>
      </c>
    </row>
    <row r="124" ht="15.75" customHeight="1">
      <c r="A124" s="14">
        <v>45672.0</v>
      </c>
      <c r="B124" s="8" t="str">
        <f t="shared" si="1"/>
        <v>Jan-25</v>
      </c>
      <c r="D124" s="12" t="s">
        <v>14</v>
      </c>
      <c r="E124" s="13">
        <v>142.0</v>
      </c>
      <c r="F124" s="13" t="s">
        <v>106</v>
      </c>
      <c r="G124" s="13" t="s">
        <v>12</v>
      </c>
    </row>
    <row r="125" ht="15.75" customHeight="1">
      <c r="A125" s="14">
        <v>45672.0</v>
      </c>
      <c r="B125" s="8" t="str">
        <f t="shared" si="1"/>
        <v>Jan-25</v>
      </c>
      <c r="D125" s="12" t="s">
        <v>11</v>
      </c>
      <c r="E125" s="13">
        <v>795.0</v>
      </c>
      <c r="F125" s="13" t="s">
        <v>99</v>
      </c>
      <c r="G125" s="13" t="s">
        <v>12</v>
      </c>
    </row>
    <row r="126" ht="15.75" customHeight="1">
      <c r="A126" s="14">
        <v>45673.0</v>
      </c>
      <c r="B126" s="8" t="str">
        <f t="shared" si="1"/>
        <v>Jan-25</v>
      </c>
      <c r="D126" s="12" t="s">
        <v>11</v>
      </c>
      <c r="E126" s="13">
        <v>150.0</v>
      </c>
      <c r="F126" s="13" t="s">
        <v>106</v>
      </c>
      <c r="G126" s="13" t="s">
        <v>12</v>
      </c>
    </row>
    <row r="127" ht="15.75" customHeight="1">
      <c r="A127" s="14">
        <v>45674.0</v>
      </c>
      <c r="B127" s="8" t="str">
        <f t="shared" si="1"/>
        <v>Jan-25</v>
      </c>
      <c r="D127" s="12" t="s">
        <v>17</v>
      </c>
      <c r="E127" s="13">
        <v>5.0</v>
      </c>
      <c r="F127" s="13" t="s">
        <v>98</v>
      </c>
      <c r="G127" s="13" t="s">
        <v>12</v>
      </c>
    </row>
    <row r="128" ht="15.75" customHeight="1">
      <c r="A128" s="14">
        <v>45674.0</v>
      </c>
      <c r="B128" s="8" t="str">
        <f t="shared" si="1"/>
        <v>Jan-25</v>
      </c>
      <c r="D128" s="12" t="s">
        <v>14</v>
      </c>
      <c r="E128" s="13">
        <v>72.0</v>
      </c>
      <c r="F128" s="13" t="s">
        <v>98</v>
      </c>
      <c r="G128" s="13" t="s">
        <v>12</v>
      </c>
    </row>
    <row r="129" ht="15.75" customHeight="1">
      <c r="A129" s="14">
        <v>45674.0</v>
      </c>
      <c r="B129" s="8" t="str">
        <f t="shared" si="1"/>
        <v>Jan-25</v>
      </c>
      <c r="D129" s="12" t="s">
        <v>15</v>
      </c>
      <c r="E129" s="13">
        <v>119.0</v>
      </c>
      <c r="F129" s="13" t="s">
        <v>106</v>
      </c>
      <c r="G129" s="13" t="s">
        <v>12</v>
      </c>
    </row>
    <row r="130" ht="15.75" customHeight="1">
      <c r="A130" s="14">
        <v>45674.0</v>
      </c>
      <c r="B130" s="8" t="str">
        <f t="shared" si="1"/>
        <v>Jan-25</v>
      </c>
      <c r="D130" s="12" t="s">
        <v>14</v>
      </c>
      <c r="E130" s="13">
        <v>156.0</v>
      </c>
      <c r="F130" s="13" t="s">
        <v>106</v>
      </c>
      <c r="G130" s="13" t="s">
        <v>12</v>
      </c>
    </row>
    <row r="131" ht="15.75" customHeight="1">
      <c r="A131" s="14">
        <v>45674.0</v>
      </c>
      <c r="B131" s="8" t="str">
        <f t="shared" si="1"/>
        <v>Jan-25</v>
      </c>
      <c r="D131" s="12" t="s">
        <v>11</v>
      </c>
      <c r="E131" s="13">
        <v>101.0</v>
      </c>
      <c r="F131" s="13" t="s">
        <v>106</v>
      </c>
      <c r="G131" s="13" t="s">
        <v>12</v>
      </c>
    </row>
    <row r="132" ht="15.75" customHeight="1">
      <c r="A132" s="14">
        <v>45675.0</v>
      </c>
      <c r="B132" s="8" t="str">
        <f t="shared" si="1"/>
        <v>Jan-25</v>
      </c>
      <c r="D132" s="12" t="s">
        <v>17</v>
      </c>
      <c r="E132" s="13">
        <v>365.0</v>
      </c>
      <c r="F132" s="13" t="s">
        <v>106</v>
      </c>
      <c r="G132" s="13" t="s">
        <v>22</v>
      </c>
    </row>
    <row r="133" ht="15.75" customHeight="1">
      <c r="A133" s="14">
        <v>45677.0</v>
      </c>
      <c r="B133" s="8" t="str">
        <f t="shared" si="1"/>
        <v>Jan-25</v>
      </c>
      <c r="D133" s="12" t="s">
        <v>17</v>
      </c>
      <c r="E133" s="13">
        <v>338.0</v>
      </c>
      <c r="F133" s="13" t="s">
        <v>106</v>
      </c>
      <c r="G133" s="13" t="s">
        <v>12</v>
      </c>
    </row>
    <row r="134" ht="15.75" customHeight="1">
      <c r="A134" s="14">
        <v>45677.0</v>
      </c>
      <c r="B134" s="8" t="str">
        <f t="shared" si="1"/>
        <v>Jan-25</v>
      </c>
      <c r="D134" s="12" t="s">
        <v>15</v>
      </c>
      <c r="E134" s="13">
        <v>186.0</v>
      </c>
      <c r="F134" s="13" t="s">
        <v>106</v>
      </c>
      <c r="G134" s="13" t="s">
        <v>12</v>
      </c>
    </row>
    <row r="135" ht="15.75" customHeight="1">
      <c r="A135" s="14">
        <v>45677.0</v>
      </c>
      <c r="B135" s="8" t="str">
        <f t="shared" si="1"/>
        <v>Jan-25</v>
      </c>
      <c r="D135" s="12" t="s">
        <v>14</v>
      </c>
      <c r="E135" s="13">
        <v>65.0</v>
      </c>
      <c r="F135" s="13" t="s">
        <v>106</v>
      </c>
      <c r="G135" s="13" t="s">
        <v>12</v>
      </c>
    </row>
    <row r="136" ht="15.75" customHeight="1">
      <c r="A136" s="14">
        <v>45677.0</v>
      </c>
      <c r="B136" s="8" t="str">
        <f t="shared" si="1"/>
        <v>Jan-25</v>
      </c>
      <c r="D136" s="12" t="s">
        <v>17</v>
      </c>
      <c r="E136" s="13">
        <v>102.0</v>
      </c>
      <c r="F136" s="13" t="s">
        <v>102</v>
      </c>
      <c r="G136" s="13" t="s">
        <v>12</v>
      </c>
    </row>
    <row r="137" ht="15.75" customHeight="1">
      <c r="A137" s="14">
        <v>45678.0</v>
      </c>
      <c r="B137" s="8" t="str">
        <f t="shared" si="1"/>
        <v>Jan-25</v>
      </c>
      <c r="D137" s="12" t="s">
        <v>17</v>
      </c>
      <c r="E137" s="13">
        <v>102.0</v>
      </c>
      <c r="F137" s="13" t="s">
        <v>106</v>
      </c>
      <c r="G137" s="13" t="s">
        <v>12</v>
      </c>
    </row>
    <row r="138" ht="15.75" customHeight="1">
      <c r="A138" s="14">
        <v>45678.0</v>
      </c>
      <c r="B138" s="8" t="str">
        <f t="shared" si="1"/>
        <v>Jan-25</v>
      </c>
      <c r="D138" s="12" t="s">
        <v>11</v>
      </c>
      <c r="E138" s="13">
        <v>36.0</v>
      </c>
      <c r="F138" s="13" t="s">
        <v>106</v>
      </c>
      <c r="G138" s="13" t="s">
        <v>12</v>
      </c>
    </row>
    <row r="139" ht="15.75" customHeight="1">
      <c r="A139" s="14">
        <v>45678.0</v>
      </c>
      <c r="B139" s="8" t="str">
        <f t="shared" si="1"/>
        <v>Jan-25</v>
      </c>
      <c r="D139" s="12" t="s">
        <v>14</v>
      </c>
      <c r="E139" s="13">
        <v>220.0</v>
      </c>
      <c r="F139" s="13" t="s">
        <v>99</v>
      </c>
      <c r="G139" s="13" t="s">
        <v>12</v>
      </c>
    </row>
    <row r="140" ht="15.75" customHeight="1">
      <c r="A140" s="14">
        <v>45679.0</v>
      </c>
      <c r="B140" s="8" t="str">
        <f t="shared" si="1"/>
        <v>Jan-25</v>
      </c>
      <c r="D140" s="12" t="s">
        <v>14</v>
      </c>
      <c r="E140" s="13">
        <v>201.0</v>
      </c>
      <c r="F140" s="13" t="s">
        <v>106</v>
      </c>
      <c r="G140" s="13" t="s">
        <v>12</v>
      </c>
    </row>
    <row r="141" ht="15.75" customHeight="1">
      <c r="A141" s="14">
        <v>45679.0</v>
      </c>
      <c r="B141" s="8" t="str">
        <f t="shared" si="1"/>
        <v>Jan-25</v>
      </c>
      <c r="D141" s="12" t="s">
        <v>11</v>
      </c>
      <c r="E141" s="13">
        <v>11.0</v>
      </c>
      <c r="F141" s="13" t="s">
        <v>106</v>
      </c>
      <c r="G141" s="13" t="s">
        <v>12</v>
      </c>
    </row>
    <row r="142" ht="15.75" customHeight="1">
      <c r="A142" s="14">
        <v>45679.0</v>
      </c>
      <c r="B142" s="8" t="str">
        <f t="shared" si="1"/>
        <v>Jan-25</v>
      </c>
      <c r="D142" s="12" t="s">
        <v>15</v>
      </c>
      <c r="E142" s="13">
        <v>104.0</v>
      </c>
      <c r="F142" s="13" t="s">
        <v>99</v>
      </c>
      <c r="G142" s="13" t="s">
        <v>12</v>
      </c>
    </row>
    <row r="143" ht="15.75" customHeight="1">
      <c r="A143" s="14">
        <v>45680.0</v>
      </c>
      <c r="B143" s="8" t="str">
        <f t="shared" si="1"/>
        <v>Jan-25</v>
      </c>
      <c r="D143" s="12" t="s">
        <v>14</v>
      </c>
      <c r="E143" s="13">
        <v>267.0</v>
      </c>
      <c r="F143" s="13" t="s">
        <v>106</v>
      </c>
      <c r="G143" s="13" t="s">
        <v>12</v>
      </c>
    </row>
    <row r="144" ht="15.75" customHeight="1">
      <c r="A144" s="14">
        <v>45680.0</v>
      </c>
      <c r="B144" s="8" t="str">
        <f t="shared" si="1"/>
        <v>Jan-25</v>
      </c>
      <c r="D144" s="12" t="s">
        <v>11</v>
      </c>
      <c r="E144" s="13">
        <v>604.0</v>
      </c>
      <c r="F144" s="13" t="s">
        <v>99</v>
      </c>
      <c r="G144" s="13" t="s">
        <v>12</v>
      </c>
    </row>
    <row r="145" ht="15.75" customHeight="1">
      <c r="A145" s="14">
        <v>45681.0</v>
      </c>
      <c r="B145" s="8" t="str">
        <f t="shared" si="1"/>
        <v>Jan-25</v>
      </c>
      <c r="D145" s="12" t="s">
        <v>11</v>
      </c>
      <c r="E145" s="13">
        <v>635.0</v>
      </c>
      <c r="F145" s="13" t="s">
        <v>106</v>
      </c>
      <c r="G145" s="13" t="s">
        <v>12</v>
      </c>
    </row>
    <row r="146" ht="15.75" customHeight="1">
      <c r="A146" s="14">
        <v>45682.0</v>
      </c>
      <c r="B146" s="8" t="str">
        <f t="shared" si="1"/>
        <v>Jan-25</v>
      </c>
      <c r="D146" s="12" t="s">
        <v>15</v>
      </c>
      <c r="E146" s="13">
        <v>294.0</v>
      </c>
      <c r="F146" s="13" t="s">
        <v>99</v>
      </c>
      <c r="G146" s="13" t="s">
        <v>12</v>
      </c>
    </row>
    <row r="147" ht="15.75" customHeight="1">
      <c r="A147" s="14">
        <v>45682.0</v>
      </c>
      <c r="B147" s="8" t="str">
        <f t="shared" si="1"/>
        <v>Jan-25</v>
      </c>
      <c r="D147" s="12" t="s">
        <v>17</v>
      </c>
      <c r="E147" s="13">
        <v>210.0</v>
      </c>
      <c r="F147" s="13" t="s">
        <v>99</v>
      </c>
      <c r="G147" s="13" t="s">
        <v>12</v>
      </c>
    </row>
    <row r="148" ht="15.75" customHeight="1">
      <c r="A148" s="14">
        <v>45682.0</v>
      </c>
      <c r="B148" s="8" t="str">
        <f t="shared" si="1"/>
        <v>Jan-25</v>
      </c>
      <c r="D148" s="12" t="s">
        <v>11</v>
      </c>
      <c r="E148" s="13">
        <v>32.0</v>
      </c>
      <c r="F148" s="13" t="s">
        <v>106</v>
      </c>
      <c r="G148" s="13" t="s">
        <v>12</v>
      </c>
    </row>
    <row r="149" ht="15.75" customHeight="1">
      <c r="A149" s="14">
        <v>45682.0</v>
      </c>
      <c r="B149" s="8" t="str">
        <f t="shared" si="1"/>
        <v>Jan-25</v>
      </c>
      <c r="D149" s="12" t="s">
        <v>11</v>
      </c>
      <c r="E149" s="13">
        <v>65.0</v>
      </c>
      <c r="F149" s="13" t="s">
        <v>98</v>
      </c>
      <c r="G149" s="13" t="s">
        <v>12</v>
      </c>
    </row>
    <row r="150" ht="15.75" customHeight="1">
      <c r="A150" s="14">
        <v>45682.0</v>
      </c>
      <c r="B150" s="8" t="str">
        <f t="shared" si="1"/>
        <v>Jan-25</v>
      </c>
      <c r="D150" s="12" t="s">
        <v>31</v>
      </c>
      <c r="E150" s="13">
        <v>32.0</v>
      </c>
      <c r="F150" s="13" t="s">
        <v>98</v>
      </c>
      <c r="G150" s="13" t="s">
        <v>12</v>
      </c>
    </row>
    <row r="151" ht="15.75" customHeight="1">
      <c r="A151" s="14">
        <v>45684.0</v>
      </c>
      <c r="B151" s="8" t="str">
        <f t="shared" si="1"/>
        <v>Jan-25</v>
      </c>
      <c r="D151" s="12" t="s">
        <v>17</v>
      </c>
      <c r="E151" s="13">
        <v>573.0</v>
      </c>
      <c r="F151" s="13" t="s">
        <v>99</v>
      </c>
      <c r="G151" s="13" t="s">
        <v>12</v>
      </c>
    </row>
    <row r="152" ht="15.75" customHeight="1">
      <c r="A152" s="14">
        <v>45684.0</v>
      </c>
      <c r="B152" s="8" t="str">
        <f t="shared" si="1"/>
        <v>Jan-25</v>
      </c>
      <c r="D152" s="12" t="s">
        <v>17</v>
      </c>
      <c r="E152" s="13">
        <v>153.0</v>
      </c>
      <c r="F152" s="13" t="s">
        <v>106</v>
      </c>
      <c r="G152" s="13" t="s">
        <v>12</v>
      </c>
    </row>
    <row r="153" ht="15.75" customHeight="1">
      <c r="A153" s="14">
        <v>45687.0</v>
      </c>
      <c r="B153" s="8" t="str">
        <f t="shared" si="1"/>
        <v>Jan-25</v>
      </c>
      <c r="D153" s="12" t="s">
        <v>14</v>
      </c>
      <c r="E153" s="13">
        <v>220.0</v>
      </c>
      <c r="F153" s="13" t="s">
        <v>99</v>
      </c>
      <c r="G153" s="13" t="s">
        <v>12</v>
      </c>
    </row>
    <row r="154" ht="15.75" customHeight="1">
      <c r="A154" s="14">
        <v>45687.0</v>
      </c>
      <c r="B154" s="8" t="str">
        <f t="shared" si="1"/>
        <v>Jan-25</v>
      </c>
      <c r="D154" s="12" t="s">
        <v>15</v>
      </c>
      <c r="E154" s="13">
        <v>170.0</v>
      </c>
      <c r="F154" s="13" t="s">
        <v>99</v>
      </c>
      <c r="G154" s="13" t="s">
        <v>12</v>
      </c>
    </row>
    <row r="155" ht="15.75" customHeight="1">
      <c r="A155" s="14">
        <v>45689.0</v>
      </c>
      <c r="B155" s="8" t="str">
        <f t="shared" si="1"/>
        <v>Feb-25</v>
      </c>
      <c r="D155" s="12" t="s">
        <v>14</v>
      </c>
      <c r="E155" s="13">
        <v>347.0</v>
      </c>
      <c r="F155" s="13" t="s">
        <v>106</v>
      </c>
      <c r="G155" s="13" t="s">
        <v>12</v>
      </c>
    </row>
    <row r="156" ht="15.75" customHeight="1">
      <c r="A156" s="14">
        <v>45689.0</v>
      </c>
      <c r="B156" s="8" t="str">
        <f t="shared" si="1"/>
        <v>Feb-25</v>
      </c>
      <c r="D156" s="12" t="s">
        <v>14</v>
      </c>
      <c r="E156" s="13">
        <v>368.0</v>
      </c>
      <c r="F156" s="13" t="s">
        <v>102</v>
      </c>
      <c r="G156" s="13" t="s">
        <v>12</v>
      </c>
    </row>
    <row r="157" ht="15.75" customHeight="1">
      <c r="A157" s="14">
        <v>45689.0</v>
      </c>
      <c r="B157" s="8" t="str">
        <f t="shared" si="1"/>
        <v>Feb-25</v>
      </c>
      <c r="D157" s="12" t="s">
        <v>15</v>
      </c>
      <c r="E157" s="13">
        <v>24.0</v>
      </c>
      <c r="F157" s="13" t="s">
        <v>102</v>
      </c>
      <c r="G157" s="13" t="s">
        <v>12</v>
      </c>
    </row>
    <row r="158" ht="15.75" customHeight="1">
      <c r="A158" s="14">
        <v>45689.0</v>
      </c>
      <c r="B158" s="8" t="str">
        <f t="shared" si="1"/>
        <v>Feb-25</v>
      </c>
      <c r="D158" s="12" t="s">
        <v>31</v>
      </c>
      <c r="E158" s="13">
        <v>39.0</v>
      </c>
      <c r="F158" s="13" t="s">
        <v>102</v>
      </c>
      <c r="G158" s="13" t="s">
        <v>12</v>
      </c>
    </row>
    <row r="159" ht="15.75" customHeight="1">
      <c r="A159" s="14">
        <v>45689.0</v>
      </c>
      <c r="B159" s="8" t="str">
        <f t="shared" si="1"/>
        <v>Feb-25</v>
      </c>
      <c r="D159" s="12" t="s">
        <v>24</v>
      </c>
      <c r="E159" s="13">
        <v>18.0</v>
      </c>
      <c r="F159" s="13" t="s">
        <v>102</v>
      </c>
      <c r="G159" s="13" t="s">
        <v>12</v>
      </c>
    </row>
    <row r="160" ht="15.75" customHeight="1">
      <c r="A160" s="14">
        <v>45691.0</v>
      </c>
      <c r="B160" s="8" t="str">
        <f t="shared" si="1"/>
        <v>Feb-25</v>
      </c>
      <c r="D160" s="12" t="s">
        <v>14</v>
      </c>
      <c r="E160" s="13">
        <v>157.0</v>
      </c>
      <c r="F160" s="13" t="s">
        <v>106</v>
      </c>
      <c r="G160" s="13" t="s">
        <v>12</v>
      </c>
    </row>
    <row r="161" ht="15.75" customHeight="1">
      <c r="A161" s="14">
        <v>45691.0</v>
      </c>
      <c r="B161" s="8" t="str">
        <f t="shared" si="1"/>
        <v>Feb-25</v>
      </c>
      <c r="D161" s="12" t="s">
        <v>15</v>
      </c>
      <c r="E161" s="13">
        <v>100.0</v>
      </c>
      <c r="F161" s="13" t="s">
        <v>106</v>
      </c>
      <c r="G161" s="13" t="s">
        <v>12</v>
      </c>
    </row>
    <row r="162" ht="15.75" customHeight="1">
      <c r="A162" s="14">
        <v>45691.0</v>
      </c>
      <c r="B162" s="8" t="str">
        <f t="shared" si="1"/>
        <v>Feb-25</v>
      </c>
      <c r="D162" s="12" t="s">
        <v>11</v>
      </c>
      <c r="E162" s="13">
        <v>450.0</v>
      </c>
      <c r="F162" s="13" t="s">
        <v>102</v>
      </c>
      <c r="G162" s="13" t="s">
        <v>12</v>
      </c>
    </row>
    <row r="163" ht="15.75" customHeight="1">
      <c r="A163" s="14">
        <v>45691.0</v>
      </c>
      <c r="B163" s="8" t="str">
        <f t="shared" si="1"/>
        <v>Feb-25</v>
      </c>
      <c r="D163" s="12" t="s">
        <v>28</v>
      </c>
      <c r="E163" s="13">
        <v>121.0</v>
      </c>
      <c r="F163" s="13" t="s">
        <v>99</v>
      </c>
      <c r="G163" s="13" t="s">
        <v>12</v>
      </c>
    </row>
    <row r="164" ht="15.75" customHeight="1">
      <c r="A164" s="14">
        <v>45691.0</v>
      </c>
      <c r="B164" s="8" t="str">
        <f t="shared" si="1"/>
        <v>Feb-25</v>
      </c>
      <c r="D164" s="12" t="s">
        <v>17</v>
      </c>
      <c r="E164" s="13">
        <v>75.0</v>
      </c>
      <c r="F164" s="13" t="s">
        <v>99</v>
      </c>
      <c r="G164" s="13" t="s">
        <v>12</v>
      </c>
    </row>
    <row r="165" ht="15.75" customHeight="1">
      <c r="A165" s="14">
        <v>45692.0</v>
      </c>
      <c r="B165" s="8" t="str">
        <f t="shared" si="1"/>
        <v>Feb-25</v>
      </c>
      <c r="D165" s="12" t="s">
        <v>17</v>
      </c>
      <c r="E165" s="13">
        <v>130.0</v>
      </c>
      <c r="F165" s="13" t="s">
        <v>99</v>
      </c>
      <c r="G165" s="13" t="s">
        <v>12</v>
      </c>
    </row>
    <row r="166" ht="15.75" customHeight="1">
      <c r="A166" s="14">
        <v>45692.0</v>
      </c>
      <c r="B166" s="8" t="str">
        <f t="shared" si="1"/>
        <v>Feb-25</v>
      </c>
      <c r="D166" s="12" t="s">
        <v>14</v>
      </c>
      <c r="E166" s="13">
        <v>135.0</v>
      </c>
      <c r="F166" s="13" t="s">
        <v>99</v>
      </c>
      <c r="G166" s="13" t="s">
        <v>12</v>
      </c>
    </row>
    <row r="167" ht="15.75" customHeight="1">
      <c r="A167" s="14">
        <v>45692.0</v>
      </c>
      <c r="B167" s="8" t="str">
        <f t="shared" si="1"/>
        <v>Feb-25</v>
      </c>
      <c r="D167" s="12" t="s">
        <v>15</v>
      </c>
      <c r="E167" s="13">
        <v>75.0</v>
      </c>
      <c r="F167" s="13" t="s">
        <v>99</v>
      </c>
      <c r="G167" s="13" t="s">
        <v>12</v>
      </c>
    </row>
    <row r="168" ht="15.75" customHeight="1">
      <c r="A168" s="14">
        <v>45692.0</v>
      </c>
      <c r="B168" s="8" t="str">
        <f t="shared" si="1"/>
        <v>Feb-25</v>
      </c>
      <c r="D168" s="12" t="s">
        <v>15</v>
      </c>
      <c r="E168" s="13">
        <v>135.0</v>
      </c>
      <c r="F168" s="13" t="s">
        <v>106</v>
      </c>
      <c r="G168" s="13" t="s">
        <v>12</v>
      </c>
    </row>
    <row r="169" ht="15.75" customHeight="1">
      <c r="A169" s="14">
        <v>45692.0</v>
      </c>
      <c r="B169" s="8" t="str">
        <f t="shared" si="1"/>
        <v>Feb-25</v>
      </c>
      <c r="D169" s="12" t="s">
        <v>11</v>
      </c>
      <c r="E169" s="13">
        <v>225.0</v>
      </c>
      <c r="F169" s="13" t="s">
        <v>106</v>
      </c>
      <c r="G169" s="13" t="s">
        <v>12</v>
      </c>
    </row>
    <row r="170" ht="15.75" customHeight="1">
      <c r="A170" s="14">
        <v>45692.0</v>
      </c>
      <c r="B170" s="8" t="str">
        <f t="shared" si="1"/>
        <v>Feb-25</v>
      </c>
      <c r="D170" s="12" t="s">
        <v>11</v>
      </c>
      <c r="E170" s="13">
        <v>100.0</v>
      </c>
      <c r="F170" s="13" t="s">
        <v>102</v>
      </c>
      <c r="G170" s="13" t="s">
        <v>12</v>
      </c>
    </row>
    <row r="171" ht="15.75" customHeight="1">
      <c r="A171" s="14">
        <v>45696.0</v>
      </c>
      <c r="B171" s="8" t="str">
        <f t="shared" si="1"/>
        <v>Feb-25</v>
      </c>
      <c r="D171" s="12" t="s">
        <v>17</v>
      </c>
      <c r="E171" s="13">
        <v>70.0</v>
      </c>
      <c r="F171" s="13" t="s">
        <v>106</v>
      </c>
      <c r="G171" s="13" t="s">
        <v>12</v>
      </c>
    </row>
    <row r="172" ht="15.75" customHeight="1">
      <c r="A172" s="14">
        <v>45696.0</v>
      </c>
      <c r="B172" s="8" t="str">
        <f t="shared" si="1"/>
        <v>Feb-25</v>
      </c>
      <c r="D172" s="12" t="s">
        <v>14</v>
      </c>
      <c r="E172" s="13">
        <v>76.0</v>
      </c>
      <c r="F172" s="13" t="s">
        <v>98</v>
      </c>
      <c r="G172" s="13" t="s">
        <v>12</v>
      </c>
    </row>
    <row r="173" ht="15.75" customHeight="1">
      <c r="A173" s="14">
        <v>45696.0</v>
      </c>
      <c r="B173" s="8" t="str">
        <f t="shared" si="1"/>
        <v>Feb-25</v>
      </c>
      <c r="D173" s="12" t="s">
        <v>14</v>
      </c>
      <c r="E173" s="13">
        <v>220.0</v>
      </c>
      <c r="F173" s="13" t="s">
        <v>99</v>
      </c>
      <c r="G173" s="13" t="s">
        <v>12</v>
      </c>
    </row>
    <row r="174" ht="15.75" customHeight="1">
      <c r="A174" s="14">
        <v>45696.0</v>
      </c>
      <c r="B174" s="8" t="str">
        <f t="shared" si="1"/>
        <v>Feb-25</v>
      </c>
      <c r="D174" s="12" t="s">
        <v>15</v>
      </c>
      <c r="E174" s="13">
        <v>153.0</v>
      </c>
      <c r="F174" s="13" t="s">
        <v>99</v>
      </c>
      <c r="G174" s="13" t="s">
        <v>12</v>
      </c>
    </row>
    <row r="175" ht="15.75" customHeight="1">
      <c r="A175" s="14">
        <v>45699.0</v>
      </c>
      <c r="B175" s="8" t="str">
        <f t="shared" si="1"/>
        <v>Feb-25</v>
      </c>
      <c r="D175" s="12" t="s">
        <v>17</v>
      </c>
      <c r="E175" s="13">
        <v>403.0</v>
      </c>
      <c r="F175" s="13" t="s">
        <v>106</v>
      </c>
      <c r="G175" s="13" t="s">
        <v>12</v>
      </c>
    </row>
    <row r="176" ht="15.75" customHeight="1">
      <c r="A176" s="14">
        <v>45700.0</v>
      </c>
      <c r="B176" s="8" t="str">
        <f t="shared" si="1"/>
        <v>Feb-25</v>
      </c>
      <c r="D176" s="12" t="s">
        <v>14</v>
      </c>
      <c r="E176" s="13">
        <v>806.0</v>
      </c>
      <c r="F176" s="13" t="s">
        <v>102</v>
      </c>
      <c r="G176" s="13" t="s">
        <v>12</v>
      </c>
    </row>
    <row r="177" ht="15.75" customHeight="1">
      <c r="A177" s="14">
        <v>45700.0</v>
      </c>
      <c r="B177" s="8" t="str">
        <f t="shared" si="1"/>
        <v>Feb-25</v>
      </c>
      <c r="D177" s="12" t="s">
        <v>17</v>
      </c>
      <c r="E177" s="13">
        <v>264.0</v>
      </c>
      <c r="F177" s="13" t="s">
        <v>102</v>
      </c>
      <c r="G177" s="13" t="s">
        <v>12</v>
      </c>
    </row>
    <row r="178" ht="15.75" customHeight="1">
      <c r="A178" s="14">
        <v>45701.0</v>
      </c>
      <c r="B178" s="8" t="str">
        <f t="shared" si="1"/>
        <v>Feb-25</v>
      </c>
      <c r="D178" s="12" t="s">
        <v>11</v>
      </c>
      <c r="E178" s="13">
        <v>669.0</v>
      </c>
      <c r="F178" s="13" t="s">
        <v>102</v>
      </c>
      <c r="G178" s="13" t="s">
        <v>12</v>
      </c>
    </row>
    <row r="179" ht="15.75" customHeight="1">
      <c r="A179" s="14">
        <v>45701.0</v>
      </c>
      <c r="B179" s="8" t="str">
        <f t="shared" si="1"/>
        <v>Feb-25</v>
      </c>
      <c r="D179" s="12" t="s">
        <v>14</v>
      </c>
      <c r="E179" s="13">
        <v>133.0</v>
      </c>
      <c r="F179" s="13" t="s">
        <v>99</v>
      </c>
      <c r="G179" s="13" t="s">
        <v>12</v>
      </c>
    </row>
    <row r="180" ht="15.75" customHeight="1">
      <c r="A180" s="14">
        <v>45701.0</v>
      </c>
      <c r="B180" s="8" t="str">
        <f t="shared" si="1"/>
        <v>Feb-25</v>
      </c>
      <c r="D180" s="12" t="s">
        <v>15</v>
      </c>
      <c r="E180" s="13">
        <v>150.0</v>
      </c>
      <c r="F180" s="13" t="s">
        <v>99</v>
      </c>
      <c r="G180" s="13" t="s">
        <v>12</v>
      </c>
    </row>
    <row r="181" ht="15.75" customHeight="1">
      <c r="A181" s="14">
        <v>45701.0</v>
      </c>
      <c r="B181" s="8" t="str">
        <f t="shared" si="1"/>
        <v>Feb-25</v>
      </c>
      <c r="D181" s="12" t="s">
        <v>11</v>
      </c>
      <c r="E181" s="13">
        <v>420.0</v>
      </c>
      <c r="F181" s="13" t="s">
        <v>99</v>
      </c>
      <c r="G181" s="13" t="s">
        <v>12</v>
      </c>
    </row>
    <row r="182" ht="15.75" customHeight="1">
      <c r="A182" s="14">
        <v>45702.0</v>
      </c>
      <c r="B182" s="8" t="str">
        <f t="shared" si="1"/>
        <v>Feb-25</v>
      </c>
      <c r="D182" s="12" t="s">
        <v>31</v>
      </c>
      <c r="E182" s="13">
        <v>175.0</v>
      </c>
      <c r="F182" s="13" t="s">
        <v>102</v>
      </c>
      <c r="G182" s="13" t="s">
        <v>12</v>
      </c>
    </row>
    <row r="183" ht="15.75" customHeight="1">
      <c r="A183" s="14">
        <v>45702.0</v>
      </c>
      <c r="B183" s="8" t="str">
        <f t="shared" si="1"/>
        <v>Feb-25</v>
      </c>
      <c r="D183" s="12" t="s">
        <v>15</v>
      </c>
      <c r="E183" s="13">
        <v>77.0</v>
      </c>
      <c r="F183" s="13" t="s">
        <v>102</v>
      </c>
      <c r="G183" s="13" t="s">
        <v>12</v>
      </c>
    </row>
    <row r="184" ht="15.75" customHeight="1">
      <c r="A184" s="14">
        <v>45702.0</v>
      </c>
      <c r="B184" s="8" t="str">
        <f t="shared" si="1"/>
        <v>Feb-25</v>
      </c>
      <c r="D184" s="12" t="s">
        <v>24</v>
      </c>
      <c r="E184" s="13">
        <v>85.0</v>
      </c>
      <c r="F184" s="13" t="s">
        <v>102</v>
      </c>
      <c r="G184" s="13" t="s">
        <v>12</v>
      </c>
    </row>
    <row r="185" ht="15.75" customHeight="1">
      <c r="A185" s="14">
        <v>45703.0</v>
      </c>
      <c r="B185" s="8" t="str">
        <f t="shared" si="1"/>
        <v>Feb-25</v>
      </c>
      <c r="D185" s="12" t="s">
        <v>11</v>
      </c>
      <c r="E185" s="13">
        <v>201.0</v>
      </c>
      <c r="F185" s="13" t="s">
        <v>106</v>
      </c>
      <c r="G185" s="13" t="s">
        <v>12</v>
      </c>
    </row>
    <row r="186" ht="15.75" customHeight="1">
      <c r="A186" s="14">
        <v>45703.0</v>
      </c>
      <c r="B186" s="8" t="str">
        <f t="shared" si="1"/>
        <v>Feb-25</v>
      </c>
      <c r="D186" s="12" t="s">
        <v>14</v>
      </c>
      <c r="E186" s="13">
        <v>224.0</v>
      </c>
      <c r="F186" s="13" t="s">
        <v>106</v>
      </c>
      <c r="G186" s="13" t="s">
        <v>12</v>
      </c>
    </row>
    <row r="187" ht="15.75" customHeight="1">
      <c r="A187" s="14">
        <v>45705.0</v>
      </c>
      <c r="B187" s="8" t="str">
        <f t="shared" si="1"/>
        <v>Feb-25</v>
      </c>
      <c r="D187" s="12" t="s">
        <v>17</v>
      </c>
      <c r="E187" s="13">
        <v>180.0</v>
      </c>
      <c r="F187" s="13" t="s">
        <v>99</v>
      </c>
      <c r="G187" s="13" t="s">
        <v>12</v>
      </c>
    </row>
    <row r="188" ht="15.75" customHeight="1">
      <c r="A188" s="14">
        <v>45705.0</v>
      </c>
      <c r="B188" s="8" t="str">
        <f t="shared" si="1"/>
        <v>Feb-25</v>
      </c>
      <c r="D188" s="12" t="s">
        <v>14</v>
      </c>
      <c r="E188" s="13">
        <v>145.0</v>
      </c>
      <c r="F188" s="13" t="s">
        <v>99</v>
      </c>
      <c r="G188" s="13" t="s">
        <v>12</v>
      </c>
    </row>
    <row r="189" ht="15.75" customHeight="1">
      <c r="A189" s="14">
        <v>45705.0</v>
      </c>
      <c r="B189" s="8" t="str">
        <f t="shared" si="1"/>
        <v>Feb-25</v>
      </c>
      <c r="D189" s="12" t="s">
        <v>11</v>
      </c>
      <c r="E189" s="13">
        <v>340.0</v>
      </c>
      <c r="F189" s="13" t="s">
        <v>99</v>
      </c>
      <c r="G189" s="13" t="s">
        <v>12</v>
      </c>
    </row>
    <row r="190" ht="15.75" customHeight="1">
      <c r="A190" s="14">
        <v>45706.0</v>
      </c>
      <c r="B190" s="8" t="str">
        <f t="shared" si="1"/>
        <v>Feb-25</v>
      </c>
      <c r="D190" s="12" t="s">
        <v>11</v>
      </c>
      <c r="E190" s="13">
        <v>743.0</v>
      </c>
      <c r="F190" s="13" t="s">
        <v>99</v>
      </c>
      <c r="G190" s="13" t="s">
        <v>12</v>
      </c>
    </row>
    <row r="191" ht="15.75" customHeight="1">
      <c r="A191" s="14">
        <v>45706.0</v>
      </c>
      <c r="B191" s="8" t="str">
        <f t="shared" si="1"/>
        <v>Feb-25</v>
      </c>
      <c r="D191" s="12" t="s">
        <v>11</v>
      </c>
      <c r="E191" s="13">
        <v>60.0</v>
      </c>
      <c r="F191" s="13" t="s">
        <v>98</v>
      </c>
      <c r="G191" s="13" t="s">
        <v>12</v>
      </c>
    </row>
    <row r="192" ht="15.75" customHeight="1">
      <c r="A192" s="14">
        <v>45706.0</v>
      </c>
      <c r="B192" s="8" t="str">
        <f t="shared" si="1"/>
        <v>Feb-25</v>
      </c>
      <c r="D192" s="12" t="s">
        <v>31</v>
      </c>
      <c r="E192" s="13">
        <v>253.0</v>
      </c>
      <c r="F192" s="13" t="s">
        <v>102</v>
      </c>
      <c r="G192" s="13" t="s">
        <v>12</v>
      </c>
    </row>
    <row r="193" ht="15.75" customHeight="1">
      <c r="A193" s="14">
        <v>45706.0</v>
      </c>
      <c r="B193" s="8" t="str">
        <f t="shared" si="1"/>
        <v>Feb-25</v>
      </c>
      <c r="D193" s="12" t="s">
        <v>31</v>
      </c>
      <c r="E193" s="13">
        <v>19.0</v>
      </c>
      <c r="F193" s="13" t="s">
        <v>106</v>
      </c>
      <c r="G193" s="13" t="s">
        <v>12</v>
      </c>
    </row>
    <row r="194" ht="15.75" customHeight="1">
      <c r="A194" s="14">
        <v>45706.0</v>
      </c>
      <c r="B194" s="8" t="str">
        <f t="shared" si="1"/>
        <v>Feb-25</v>
      </c>
      <c r="D194" s="12" t="s">
        <v>14</v>
      </c>
      <c r="E194" s="13">
        <v>294.0</v>
      </c>
      <c r="F194" s="13" t="s">
        <v>102</v>
      </c>
      <c r="G194" s="13" t="s">
        <v>12</v>
      </c>
    </row>
    <row r="195" ht="15.75" customHeight="1">
      <c r="A195" s="14">
        <v>45707.0</v>
      </c>
      <c r="B195" s="8" t="str">
        <f t="shared" si="1"/>
        <v>Feb-25</v>
      </c>
      <c r="D195" s="12" t="s">
        <v>11</v>
      </c>
      <c r="E195" s="13">
        <v>373.0</v>
      </c>
      <c r="F195" s="13" t="s">
        <v>102</v>
      </c>
      <c r="G195" s="13" t="s">
        <v>12</v>
      </c>
    </row>
    <row r="196" ht="15.75" customHeight="1">
      <c r="A196" s="14">
        <v>45707.0</v>
      </c>
      <c r="B196" s="8" t="str">
        <f t="shared" si="1"/>
        <v>Feb-25</v>
      </c>
      <c r="D196" s="12" t="s">
        <v>15</v>
      </c>
      <c r="E196" s="13">
        <v>110.0</v>
      </c>
      <c r="F196" s="13" t="s">
        <v>102</v>
      </c>
      <c r="G196" s="13" t="s">
        <v>12</v>
      </c>
    </row>
    <row r="197" ht="15.75" customHeight="1">
      <c r="A197" s="14">
        <v>45707.0</v>
      </c>
      <c r="B197" s="8" t="str">
        <f t="shared" si="1"/>
        <v>Feb-25</v>
      </c>
      <c r="D197" s="12" t="s">
        <v>14</v>
      </c>
      <c r="E197" s="13">
        <v>62.0</v>
      </c>
      <c r="F197" s="13" t="s">
        <v>98</v>
      </c>
      <c r="G197" s="13" t="s">
        <v>12</v>
      </c>
    </row>
    <row r="198" ht="15.75" customHeight="1">
      <c r="A198" s="14">
        <v>45708.0</v>
      </c>
      <c r="B198" s="8" t="str">
        <f t="shared" si="1"/>
        <v>Feb-25</v>
      </c>
      <c r="D198" s="12" t="s">
        <v>11</v>
      </c>
      <c r="E198" s="13">
        <v>94.0</v>
      </c>
      <c r="F198" s="13" t="s">
        <v>106</v>
      </c>
      <c r="G198" s="13" t="s">
        <v>12</v>
      </c>
    </row>
    <row r="199" ht="15.75" customHeight="1">
      <c r="A199" s="14">
        <v>45708.0</v>
      </c>
      <c r="B199" s="8" t="str">
        <f t="shared" si="1"/>
        <v>Feb-25</v>
      </c>
      <c r="D199" s="12" t="s">
        <v>14</v>
      </c>
      <c r="E199" s="13">
        <v>31.0</v>
      </c>
      <c r="F199" s="13" t="s">
        <v>106</v>
      </c>
      <c r="G199" s="13" t="s">
        <v>12</v>
      </c>
    </row>
    <row r="200" ht="15.75" customHeight="1">
      <c r="A200" s="14">
        <v>45709.0</v>
      </c>
      <c r="B200" s="8" t="str">
        <f t="shared" si="1"/>
        <v>Feb-25</v>
      </c>
      <c r="D200" s="12" t="s">
        <v>17</v>
      </c>
      <c r="E200" s="13">
        <v>354.0</v>
      </c>
      <c r="F200" s="13" t="s">
        <v>102</v>
      </c>
      <c r="G200" s="13" t="s">
        <v>12</v>
      </c>
    </row>
    <row r="201" ht="15.75" customHeight="1">
      <c r="A201" s="14">
        <v>45709.0</v>
      </c>
      <c r="B201" s="8" t="str">
        <f t="shared" si="1"/>
        <v>Feb-25</v>
      </c>
      <c r="D201" s="12" t="s">
        <v>15</v>
      </c>
      <c r="E201" s="13">
        <v>51.0</v>
      </c>
      <c r="F201" s="13" t="s">
        <v>102</v>
      </c>
      <c r="G201" s="13" t="s">
        <v>12</v>
      </c>
    </row>
    <row r="202" ht="15.75" customHeight="1">
      <c r="A202" s="14">
        <v>45710.0</v>
      </c>
      <c r="B202" s="8" t="str">
        <f t="shared" si="1"/>
        <v>Feb-25</v>
      </c>
      <c r="D202" s="12" t="s">
        <v>14</v>
      </c>
      <c r="E202" s="13">
        <v>160.0</v>
      </c>
      <c r="F202" s="13" t="s">
        <v>99</v>
      </c>
      <c r="G202" s="13" t="s">
        <v>12</v>
      </c>
    </row>
    <row r="203" ht="15.75" customHeight="1">
      <c r="A203" s="14">
        <v>45710.0</v>
      </c>
      <c r="B203" s="8" t="str">
        <f t="shared" si="1"/>
        <v>Feb-25</v>
      </c>
      <c r="D203" s="12" t="s">
        <v>17</v>
      </c>
      <c r="E203" s="13">
        <v>334.0</v>
      </c>
      <c r="F203" s="13" t="s">
        <v>106</v>
      </c>
      <c r="G203" s="13" t="s">
        <v>12</v>
      </c>
    </row>
    <row r="204" ht="15.75" customHeight="1">
      <c r="A204" s="14">
        <v>45712.0</v>
      </c>
      <c r="B204" s="8" t="str">
        <f t="shared" si="1"/>
        <v>Feb-25</v>
      </c>
      <c r="D204" s="12" t="s">
        <v>15</v>
      </c>
      <c r="E204" s="13">
        <v>200.0</v>
      </c>
      <c r="F204" s="13" t="s">
        <v>99</v>
      </c>
      <c r="G204" s="13" t="s">
        <v>12</v>
      </c>
    </row>
    <row r="205" ht="15.75" customHeight="1">
      <c r="A205" s="14">
        <v>45712.0</v>
      </c>
      <c r="B205" s="8" t="str">
        <f t="shared" si="1"/>
        <v>Feb-25</v>
      </c>
      <c r="D205" s="12" t="s">
        <v>11</v>
      </c>
      <c r="E205" s="13">
        <v>834.0</v>
      </c>
      <c r="F205" s="13" t="s">
        <v>99</v>
      </c>
      <c r="G205" s="13" t="s">
        <v>12</v>
      </c>
    </row>
    <row r="206" ht="15.75" customHeight="1">
      <c r="A206" s="14">
        <v>45712.0</v>
      </c>
      <c r="B206" s="8" t="str">
        <f t="shared" si="1"/>
        <v>Feb-25</v>
      </c>
      <c r="D206" s="12" t="s">
        <v>11</v>
      </c>
      <c r="E206" s="13">
        <v>31.0</v>
      </c>
      <c r="F206" s="13" t="s">
        <v>106</v>
      </c>
      <c r="G206" s="13" t="s">
        <v>12</v>
      </c>
    </row>
    <row r="207" ht="15.75" customHeight="1">
      <c r="A207" s="14">
        <v>45712.0</v>
      </c>
      <c r="B207" s="8" t="str">
        <f t="shared" si="1"/>
        <v>Feb-25</v>
      </c>
      <c r="D207" s="12" t="s">
        <v>14</v>
      </c>
      <c r="E207" s="13">
        <v>27.0</v>
      </c>
      <c r="F207" s="13" t="s">
        <v>106</v>
      </c>
      <c r="G207" s="13" t="s">
        <v>12</v>
      </c>
    </row>
    <row r="208" ht="15.75" customHeight="1">
      <c r="A208" s="14">
        <v>45715.0</v>
      </c>
      <c r="B208" s="8" t="str">
        <f t="shared" si="1"/>
        <v>Feb-25</v>
      </c>
      <c r="D208" s="12" t="s">
        <v>11</v>
      </c>
      <c r="E208" s="13">
        <v>514.0</v>
      </c>
      <c r="F208" s="13" t="s">
        <v>106</v>
      </c>
      <c r="G208" s="13" t="s">
        <v>12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08"/>
  <dataValidations>
    <dataValidation type="list" allowBlank="1" showErrorMessage="1" sqref="G2:G208">
      <formula1>'Data Validation'!$C$3:$C$20</formula1>
    </dataValidation>
    <dataValidation type="list" allowBlank="1" showErrorMessage="1" sqref="D2:D208">
      <formula1>'Data Validation'!$B$3:$B$15</formula1>
    </dataValidation>
  </dataValidation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9.57"/>
    <col customWidth="1" min="5" max="7" width="16.57"/>
    <col customWidth="1" min="8" max="8" width="14.86"/>
    <col customWidth="1" min="9" max="9" width="33.57"/>
    <col customWidth="1" min="10" max="28" width="11.4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119</v>
      </c>
      <c r="F1" s="2" t="s">
        <v>120</v>
      </c>
      <c r="G1" s="2" t="s">
        <v>57</v>
      </c>
      <c r="H1" s="1" t="s">
        <v>6</v>
      </c>
      <c r="I1" s="3" t="s">
        <v>63</v>
      </c>
    </row>
    <row r="2">
      <c r="A2" s="14">
        <v>45601.0</v>
      </c>
      <c r="B2" s="8" t="str">
        <f t="shared" ref="B2:B138" si="1">TEXT(A2,"mmm-yy")</f>
        <v>Nov-24</v>
      </c>
      <c r="D2" s="12" t="s">
        <v>14</v>
      </c>
      <c r="E2" s="13">
        <v>401.0</v>
      </c>
      <c r="F2" s="13"/>
      <c r="G2" s="13">
        <f t="shared" ref="G2:G138" si="2">SUM(E2:F2)</f>
        <v>401</v>
      </c>
      <c r="H2" s="13" t="s">
        <v>32</v>
      </c>
    </row>
    <row r="3">
      <c r="A3" s="14">
        <v>45602.0</v>
      </c>
      <c r="B3" s="8" t="str">
        <f t="shared" si="1"/>
        <v>Nov-24</v>
      </c>
      <c r="D3" s="12" t="s">
        <v>14</v>
      </c>
      <c r="G3" s="13">
        <f t="shared" si="2"/>
        <v>0</v>
      </c>
      <c r="H3" s="13" t="s">
        <v>32</v>
      </c>
    </row>
    <row r="4">
      <c r="A4" s="14">
        <v>45602.0</v>
      </c>
      <c r="B4" s="8" t="str">
        <f t="shared" si="1"/>
        <v>Nov-24</v>
      </c>
      <c r="D4" s="12" t="s">
        <v>15</v>
      </c>
      <c r="G4" s="13">
        <f t="shared" si="2"/>
        <v>0</v>
      </c>
      <c r="H4" s="13" t="s">
        <v>32</v>
      </c>
    </row>
    <row r="5">
      <c r="A5" s="14">
        <v>45602.0</v>
      </c>
      <c r="B5" s="8" t="str">
        <f t="shared" si="1"/>
        <v>Nov-24</v>
      </c>
      <c r="D5" s="12" t="s">
        <v>11</v>
      </c>
      <c r="E5" s="13">
        <v>557.0</v>
      </c>
      <c r="G5" s="13">
        <f t="shared" si="2"/>
        <v>557</v>
      </c>
      <c r="H5" s="13" t="s">
        <v>32</v>
      </c>
    </row>
    <row r="6">
      <c r="A6" s="14">
        <v>45602.0</v>
      </c>
      <c r="B6" s="8" t="str">
        <f t="shared" si="1"/>
        <v>Nov-24</v>
      </c>
      <c r="D6" s="12" t="s">
        <v>11</v>
      </c>
      <c r="E6" s="13">
        <v>75.0</v>
      </c>
      <c r="G6" s="13">
        <f t="shared" si="2"/>
        <v>75</v>
      </c>
      <c r="H6" s="13" t="s">
        <v>12</v>
      </c>
    </row>
    <row r="7">
      <c r="A7" s="14">
        <v>45603.0</v>
      </c>
      <c r="B7" s="8" t="str">
        <f t="shared" si="1"/>
        <v>Nov-24</v>
      </c>
      <c r="D7" s="12" t="s">
        <v>14</v>
      </c>
      <c r="G7" s="13">
        <f t="shared" si="2"/>
        <v>0</v>
      </c>
      <c r="H7" s="8"/>
    </row>
    <row r="8">
      <c r="A8" s="14">
        <v>45604.0</v>
      </c>
      <c r="B8" s="8" t="str">
        <f t="shared" si="1"/>
        <v>Nov-24</v>
      </c>
      <c r="D8" s="12" t="s">
        <v>15</v>
      </c>
      <c r="G8" s="13">
        <f t="shared" si="2"/>
        <v>0</v>
      </c>
      <c r="H8" s="8"/>
    </row>
    <row r="9">
      <c r="A9" s="14">
        <v>45604.0</v>
      </c>
      <c r="B9" s="8" t="str">
        <f t="shared" si="1"/>
        <v>Nov-24</v>
      </c>
      <c r="D9" s="12" t="s">
        <v>31</v>
      </c>
      <c r="E9" s="13">
        <v>440.0</v>
      </c>
      <c r="G9" s="13">
        <f t="shared" si="2"/>
        <v>440</v>
      </c>
      <c r="H9" s="13" t="s">
        <v>32</v>
      </c>
    </row>
    <row r="10">
      <c r="A10" s="14">
        <v>45605.0</v>
      </c>
      <c r="B10" s="8" t="str">
        <f t="shared" si="1"/>
        <v>Nov-24</v>
      </c>
      <c r="D10" s="12" t="s">
        <v>14</v>
      </c>
      <c r="G10" s="13">
        <f t="shared" si="2"/>
        <v>0</v>
      </c>
      <c r="H10" s="13" t="s">
        <v>32</v>
      </c>
    </row>
    <row r="11">
      <c r="A11" s="14">
        <v>45605.0</v>
      </c>
      <c r="B11" s="8" t="str">
        <f t="shared" si="1"/>
        <v>Nov-24</v>
      </c>
      <c r="D11" s="12" t="s">
        <v>15</v>
      </c>
      <c r="G11" s="13">
        <f t="shared" si="2"/>
        <v>0</v>
      </c>
      <c r="H11" s="13" t="s">
        <v>32</v>
      </c>
    </row>
    <row r="12">
      <c r="A12" s="14">
        <v>45605.0</v>
      </c>
      <c r="B12" s="8" t="str">
        <f t="shared" si="1"/>
        <v>Nov-24</v>
      </c>
      <c r="D12" s="12" t="s">
        <v>11</v>
      </c>
      <c r="E12" s="13">
        <v>702.0</v>
      </c>
      <c r="G12" s="13">
        <f t="shared" si="2"/>
        <v>702</v>
      </c>
      <c r="H12" s="13" t="s">
        <v>32</v>
      </c>
    </row>
    <row r="13">
      <c r="A13" s="14">
        <v>45607.0</v>
      </c>
      <c r="B13" s="8" t="str">
        <f t="shared" si="1"/>
        <v>Nov-24</v>
      </c>
      <c r="D13" s="12" t="s">
        <v>15</v>
      </c>
      <c r="G13" s="13">
        <f t="shared" si="2"/>
        <v>0</v>
      </c>
      <c r="H13" s="8"/>
    </row>
    <row r="14">
      <c r="A14" s="14">
        <v>45607.0</v>
      </c>
      <c r="B14" s="8" t="str">
        <f t="shared" si="1"/>
        <v>Nov-24</v>
      </c>
      <c r="D14" s="12" t="s">
        <v>11</v>
      </c>
      <c r="E14" s="13">
        <v>200.0</v>
      </c>
      <c r="G14" s="13">
        <f t="shared" si="2"/>
        <v>200</v>
      </c>
      <c r="H14" s="13" t="s">
        <v>59</v>
      </c>
    </row>
    <row r="15">
      <c r="A15" s="14">
        <v>45607.0</v>
      </c>
      <c r="B15" s="8" t="str">
        <f t="shared" si="1"/>
        <v>Nov-24</v>
      </c>
      <c r="D15" s="12" t="s">
        <v>14</v>
      </c>
      <c r="G15" s="13">
        <f t="shared" si="2"/>
        <v>0</v>
      </c>
      <c r="H15" s="8"/>
    </row>
    <row r="16">
      <c r="A16" s="14">
        <v>45607.0</v>
      </c>
      <c r="B16" s="8" t="str">
        <f t="shared" si="1"/>
        <v>Nov-24</v>
      </c>
      <c r="D16" s="12" t="s">
        <v>15</v>
      </c>
      <c r="E16" s="13">
        <v>520.0</v>
      </c>
      <c r="G16" s="13">
        <f t="shared" si="2"/>
        <v>520</v>
      </c>
      <c r="H16" s="13" t="s">
        <v>32</v>
      </c>
    </row>
    <row r="17">
      <c r="A17" s="14">
        <v>45608.0</v>
      </c>
      <c r="B17" s="8" t="str">
        <f t="shared" si="1"/>
        <v>Nov-24</v>
      </c>
      <c r="D17" s="12" t="s">
        <v>11</v>
      </c>
      <c r="E17" s="13">
        <v>180.0</v>
      </c>
      <c r="F17" s="13">
        <v>2.0</v>
      </c>
      <c r="G17" s="13">
        <f t="shared" si="2"/>
        <v>182</v>
      </c>
      <c r="H17" s="13" t="s">
        <v>12</v>
      </c>
    </row>
    <row r="18">
      <c r="A18" s="14">
        <v>45608.0</v>
      </c>
      <c r="B18" s="8" t="str">
        <f t="shared" si="1"/>
        <v>Nov-24</v>
      </c>
      <c r="D18" s="12" t="s">
        <v>31</v>
      </c>
      <c r="E18" s="13">
        <v>25.0</v>
      </c>
      <c r="G18" s="13">
        <f t="shared" si="2"/>
        <v>25</v>
      </c>
      <c r="H18" s="13" t="s">
        <v>12</v>
      </c>
    </row>
    <row r="19">
      <c r="A19" s="14">
        <v>45608.0</v>
      </c>
      <c r="B19" s="8" t="str">
        <f t="shared" si="1"/>
        <v>Nov-24</v>
      </c>
      <c r="D19" s="12" t="s">
        <v>11</v>
      </c>
      <c r="E19" s="13">
        <v>180.0</v>
      </c>
      <c r="G19" s="13">
        <f t="shared" si="2"/>
        <v>180</v>
      </c>
      <c r="H19" s="13" t="s">
        <v>32</v>
      </c>
    </row>
    <row r="20">
      <c r="A20" s="14">
        <v>45608.0</v>
      </c>
      <c r="B20" s="8" t="str">
        <f t="shared" si="1"/>
        <v>Nov-24</v>
      </c>
      <c r="D20" s="12" t="s">
        <v>31</v>
      </c>
      <c r="E20" s="13">
        <v>130.0</v>
      </c>
      <c r="G20" s="13">
        <f t="shared" si="2"/>
        <v>130</v>
      </c>
      <c r="H20" s="13" t="s">
        <v>32</v>
      </c>
    </row>
    <row r="21" ht="15.75" customHeight="1">
      <c r="A21" s="14">
        <v>45609.0</v>
      </c>
      <c r="B21" s="8" t="str">
        <f t="shared" si="1"/>
        <v>Nov-24</v>
      </c>
      <c r="D21" s="12" t="s">
        <v>14</v>
      </c>
      <c r="E21" s="13">
        <v>340.0</v>
      </c>
      <c r="G21" s="13">
        <f t="shared" si="2"/>
        <v>340</v>
      </c>
      <c r="H21" s="13" t="s">
        <v>32</v>
      </c>
    </row>
    <row r="22" ht="15.75" customHeight="1">
      <c r="A22" s="14">
        <v>45609.0</v>
      </c>
      <c r="B22" s="8" t="str">
        <f t="shared" si="1"/>
        <v>Nov-24</v>
      </c>
      <c r="D22" s="12" t="s">
        <v>28</v>
      </c>
      <c r="E22" s="13">
        <v>205.0</v>
      </c>
      <c r="G22" s="13">
        <f t="shared" si="2"/>
        <v>205</v>
      </c>
      <c r="H22" s="13" t="s">
        <v>32</v>
      </c>
    </row>
    <row r="23" ht="15.75" customHeight="1">
      <c r="A23" s="14">
        <v>45610.0</v>
      </c>
      <c r="B23" s="8" t="str">
        <f t="shared" si="1"/>
        <v>Nov-24</v>
      </c>
      <c r="D23" s="12" t="s">
        <v>17</v>
      </c>
      <c r="E23" s="13">
        <v>200.0</v>
      </c>
      <c r="G23" s="13">
        <f t="shared" si="2"/>
        <v>200</v>
      </c>
      <c r="H23" s="13" t="s">
        <v>32</v>
      </c>
    </row>
    <row r="24" ht="15.75" customHeight="1">
      <c r="A24" s="14">
        <v>45611.0</v>
      </c>
      <c r="B24" s="8" t="str">
        <f t="shared" si="1"/>
        <v>Nov-24</v>
      </c>
      <c r="D24" s="12" t="s">
        <v>17</v>
      </c>
      <c r="E24" s="13">
        <v>465.0</v>
      </c>
      <c r="G24" s="13">
        <f t="shared" si="2"/>
        <v>465</v>
      </c>
      <c r="H24" s="13" t="s">
        <v>32</v>
      </c>
    </row>
    <row r="25" ht="15.75" customHeight="1">
      <c r="A25" s="14">
        <v>45612.0</v>
      </c>
      <c r="B25" s="8" t="str">
        <f t="shared" si="1"/>
        <v>Nov-24</v>
      </c>
      <c r="D25" s="12" t="s">
        <v>17</v>
      </c>
      <c r="E25" s="13">
        <v>510.0</v>
      </c>
      <c r="G25" s="13">
        <f t="shared" si="2"/>
        <v>510</v>
      </c>
      <c r="H25" s="13" t="s">
        <v>32</v>
      </c>
    </row>
    <row r="26" ht="15.75" customHeight="1">
      <c r="A26" s="14">
        <v>45614.0</v>
      </c>
      <c r="B26" s="8" t="str">
        <f t="shared" si="1"/>
        <v>Nov-24</v>
      </c>
      <c r="D26" s="12" t="s">
        <v>11</v>
      </c>
      <c r="E26" s="13">
        <v>101.0</v>
      </c>
      <c r="G26" s="13">
        <f t="shared" si="2"/>
        <v>101</v>
      </c>
      <c r="H26" s="13" t="s">
        <v>12</v>
      </c>
    </row>
    <row r="27" ht="15.75" customHeight="1">
      <c r="A27" s="14">
        <v>45615.0</v>
      </c>
      <c r="B27" s="8" t="str">
        <f t="shared" si="1"/>
        <v>Nov-24</v>
      </c>
      <c r="D27" s="12" t="s">
        <v>17</v>
      </c>
      <c r="E27" s="13">
        <v>480.0</v>
      </c>
      <c r="G27" s="13">
        <f t="shared" si="2"/>
        <v>480</v>
      </c>
      <c r="H27" s="13" t="s">
        <v>32</v>
      </c>
    </row>
    <row r="28" ht="15.75" customHeight="1">
      <c r="A28" s="14">
        <v>45615.0</v>
      </c>
      <c r="B28" s="8" t="str">
        <f t="shared" si="1"/>
        <v>Nov-24</v>
      </c>
      <c r="D28" s="12" t="s">
        <v>11</v>
      </c>
      <c r="E28" s="13">
        <v>50.0</v>
      </c>
      <c r="G28" s="13">
        <f t="shared" si="2"/>
        <v>50</v>
      </c>
      <c r="H28" s="13" t="s">
        <v>32</v>
      </c>
    </row>
    <row r="29" ht="15.75" customHeight="1">
      <c r="A29" s="14">
        <v>45615.0</v>
      </c>
      <c r="B29" s="8" t="str">
        <f t="shared" si="1"/>
        <v>Nov-24</v>
      </c>
      <c r="D29" s="12" t="s">
        <v>11</v>
      </c>
      <c r="E29" s="13">
        <v>30.0</v>
      </c>
      <c r="G29" s="13">
        <f t="shared" si="2"/>
        <v>30</v>
      </c>
      <c r="H29" s="13" t="s">
        <v>12</v>
      </c>
    </row>
    <row r="30" ht="15.75" customHeight="1">
      <c r="A30" s="14">
        <v>45615.0</v>
      </c>
      <c r="B30" s="8" t="str">
        <f t="shared" si="1"/>
        <v>Nov-24</v>
      </c>
      <c r="D30" s="12" t="s">
        <v>17</v>
      </c>
      <c r="E30" s="13">
        <v>148.0</v>
      </c>
      <c r="G30" s="13">
        <f t="shared" si="2"/>
        <v>148</v>
      </c>
      <c r="H30" s="13" t="s">
        <v>12</v>
      </c>
    </row>
    <row r="31" ht="15.75" customHeight="1">
      <c r="A31" s="14">
        <v>45615.0</v>
      </c>
      <c r="B31" s="8" t="str">
        <f t="shared" si="1"/>
        <v>Nov-24</v>
      </c>
      <c r="D31" s="12" t="s">
        <v>17</v>
      </c>
      <c r="E31" s="13">
        <v>148.0</v>
      </c>
      <c r="G31" s="13">
        <f t="shared" si="2"/>
        <v>148</v>
      </c>
      <c r="H31" s="13" t="s">
        <v>23</v>
      </c>
    </row>
    <row r="32" ht="15.75" customHeight="1">
      <c r="A32" s="14">
        <v>45615.0</v>
      </c>
      <c r="B32" s="8" t="str">
        <f t="shared" si="1"/>
        <v>Nov-24</v>
      </c>
      <c r="D32" s="12" t="s">
        <v>11</v>
      </c>
      <c r="E32" s="13">
        <v>30.0</v>
      </c>
      <c r="G32" s="13">
        <f t="shared" si="2"/>
        <v>30</v>
      </c>
      <c r="H32" s="13" t="s">
        <v>23</v>
      </c>
    </row>
    <row r="33" ht="15.75" customHeight="1">
      <c r="A33" s="14">
        <v>45616.0</v>
      </c>
      <c r="B33" s="8" t="str">
        <f t="shared" si="1"/>
        <v>Nov-24</v>
      </c>
      <c r="D33" s="12" t="s">
        <v>14</v>
      </c>
      <c r="E33" s="13">
        <v>263.0</v>
      </c>
      <c r="G33" s="13">
        <f t="shared" si="2"/>
        <v>263</v>
      </c>
      <c r="H33" s="13" t="s">
        <v>32</v>
      </c>
    </row>
    <row r="34" ht="15.75" customHeight="1">
      <c r="A34" s="14">
        <v>45616.0</v>
      </c>
      <c r="B34" s="8" t="str">
        <f t="shared" si="1"/>
        <v>Nov-24</v>
      </c>
      <c r="D34" s="12" t="s">
        <v>11</v>
      </c>
      <c r="E34" s="13">
        <v>103.0</v>
      </c>
      <c r="G34" s="13">
        <f t="shared" si="2"/>
        <v>103</v>
      </c>
      <c r="H34" s="13" t="s">
        <v>32</v>
      </c>
    </row>
    <row r="35" ht="15.75" customHeight="1">
      <c r="A35" s="14">
        <v>45616.0</v>
      </c>
      <c r="B35" s="8" t="str">
        <f t="shared" si="1"/>
        <v>Nov-24</v>
      </c>
      <c r="D35" s="12" t="s">
        <v>28</v>
      </c>
      <c r="E35" s="13">
        <v>37.0</v>
      </c>
      <c r="G35" s="13">
        <f t="shared" si="2"/>
        <v>37</v>
      </c>
      <c r="H35" s="13" t="s">
        <v>32</v>
      </c>
    </row>
    <row r="36" ht="15.75" customHeight="1">
      <c r="A36" s="14">
        <v>45619.0</v>
      </c>
      <c r="B36" s="8" t="str">
        <f t="shared" si="1"/>
        <v>Nov-24</v>
      </c>
      <c r="D36" s="12" t="s">
        <v>11</v>
      </c>
      <c r="E36" s="13">
        <v>192.0</v>
      </c>
      <c r="G36" s="13">
        <f t="shared" si="2"/>
        <v>192</v>
      </c>
      <c r="H36" s="13" t="s">
        <v>32</v>
      </c>
    </row>
    <row r="37" ht="15.75" customHeight="1">
      <c r="A37" s="14">
        <v>45619.0</v>
      </c>
      <c r="B37" s="8" t="str">
        <f t="shared" si="1"/>
        <v>Nov-24</v>
      </c>
      <c r="D37" s="12" t="s">
        <v>14</v>
      </c>
      <c r="E37" s="13">
        <v>330.0</v>
      </c>
      <c r="G37" s="13">
        <f t="shared" si="2"/>
        <v>330</v>
      </c>
      <c r="H37" s="13" t="s">
        <v>32</v>
      </c>
    </row>
    <row r="38" ht="15.75" customHeight="1">
      <c r="A38" s="14">
        <v>45622.0</v>
      </c>
      <c r="B38" s="8" t="str">
        <f t="shared" si="1"/>
        <v>Nov-24</v>
      </c>
      <c r="D38" s="12" t="s">
        <v>11</v>
      </c>
      <c r="E38" s="13">
        <v>145.0</v>
      </c>
      <c r="G38" s="13">
        <f t="shared" si="2"/>
        <v>145</v>
      </c>
      <c r="H38" s="13" t="s">
        <v>32</v>
      </c>
    </row>
    <row r="39" ht="15.75" customHeight="1">
      <c r="A39" s="14">
        <v>45622.0</v>
      </c>
      <c r="B39" s="8" t="str">
        <f t="shared" si="1"/>
        <v>Nov-24</v>
      </c>
      <c r="D39" s="12" t="s">
        <v>14</v>
      </c>
      <c r="E39" s="13">
        <v>321.0</v>
      </c>
      <c r="G39" s="13">
        <f t="shared" si="2"/>
        <v>321</v>
      </c>
      <c r="H39" s="13" t="s">
        <v>32</v>
      </c>
    </row>
    <row r="40" ht="15.75" customHeight="1">
      <c r="A40" s="14">
        <v>45622.0</v>
      </c>
      <c r="B40" s="8" t="str">
        <f t="shared" si="1"/>
        <v>Nov-24</v>
      </c>
      <c r="D40" s="12" t="s">
        <v>31</v>
      </c>
      <c r="E40" s="13">
        <v>64.0</v>
      </c>
      <c r="G40" s="13">
        <f t="shared" si="2"/>
        <v>64</v>
      </c>
      <c r="H40" s="13" t="s">
        <v>32</v>
      </c>
    </row>
    <row r="41" ht="15.75" customHeight="1">
      <c r="A41" s="14">
        <v>45622.0</v>
      </c>
      <c r="B41" s="8" t="str">
        <f t="shared" si="1"/>
        <v>Nov-24</v>
      </c>
      <c r="D41" s="12"/>
      <c r="G41" s="13">
        <f t="shared" si="2"/>
        <v>0</v>
      </c>
      <c r="H41" s="13" t="s">
        <v>32</v>
      </c>
      <c r="I41" s="13" t="s">
        <v>121</v>
      </c>
    </row>
    <row r="42" ht="15.75" customHeight="1">
      <c r="A42" s="14">
        <v>45623.0</v>
      </c>
      <c r="B42" s="8" t="str">
        <f t="shared" si="1"/>
        <v>Nov-24</v>
      </c>
      <c r="D42" s="12" t="s">
        <v>28</v>
      </c>
      <c r="E42" s="13">
        <v>283.0</v>
      </c>
      <c r="G42" s="13">
        <f t="shared" si="2"/>
        <v>283</v>
      </c>
      <c r="H42" s="13" t="s">
        <v>32</v>
      </c>
    </row>
    <row r="43" ht="15.75" customHeight="1">
      <c r="A43" s="14">
        <v>45623.0</v>
      </c>
      <c r="B43" s="8" t="str">
        <f t="shared" si="1"/>
        <v>Nov-24</v>
      </c>
      <c r="D43" s="12" t="s">
        <v>11</v>
      </c>
      <c r="E43" s="13">
        <v>150.0</v>
      </c>
      <c r="G43" s="13">
        <f t="shared" si="2"/>
        <v>150</v>
      </c>
      <c r="H43" s="13" t="s">
        <v>32</v>
      </c>
    </row>
    <row r="44" ht="15.75" customHeight="1">
      <c r="A44" s="14">
        <v>45623.0</v>
      </c>
      <c r="B44" s="8" t="str">
        <f t="shared" si="1"/>
        <v>Nov-24</v>
      </c>
      <c r="D44" s="12" t="s">
        <v>31</v>
      </c>
      <c r="E44" s="13">
        <v>37.0</v>
      </c>
      <c r="G44" s="13">
        <f t="shared" si="2"/>
        <v>37</v>
      </c>
      <c r="H44" s="13" t="s">
        <v>32</v>
      </c>
    </row>
    <row r="45" ht="15.75" customHeight="1">
      <c r="A45" s="14">
        <v>45623.0</v>
      </c>
      <c r="B45" s="8" t="str">
        <f t="shared" si="1"/>
        <v>Nov-24</v>
      </c>
      <c r="D45" s="12" t="s">
        <v>15</v>
      </c>
      <c r="E45" s="13">
        <v>17.0</v>
      </c>
      <c r="G45" s="13">
        <f t="shared" si="2"/>
        <v>17</v>
      </c>
      <c r="H45" s="13" t="s">
        <v>32</v>
      </c>
    </row>
    <row r="46" ht="15.75" customHeight="1">
      <c r="A46" s="14">
        <v>45624.0</v>
      </c>
      <c r="B46" s="8" t="str">
        <f t="shared" si="1"/>
        <v>Nov-24</v>
      </c>
      <c r="D46" s="12" t="s">
        <v>14</v>
      </c>
      <c r="E46" s="13">
        <v>120.0</v>
      </c>
      <c r="G46" s="13">
        <f t="shared" si="2"/>
        <v>120</v>
      </c>
      <c r="H46" s="13" t="s">
        <v>23</v>
      </c>
    </row>
    <row r="47" ht="15.75" customHeight="1">
      <c r="A47" s="14">
        <v>45624.0</v>
      </c>
      <c r="B47" s="8" t="str">
        <f t="shared" si="1"/>
        <v>Nov-24</v>
      </c>
      <c r="C47" s="13">
        <v>72.0</v>
      </c>
      <c r="D47" s="12" t="s">
        <v>17</v>
      </c>
      <c r="E47" s="13">
        <v>100.0</v>
      </c>
      <c r="G47" s="13">
        <f t="shared" si="2"/>
        <v>100</v>
      </c>
      <c r="H47" s="13" t="s">
        <v>23</v>
      </c>
    </row>
    <row r="48" ht="15.75" customHeight="1">
      <c r="A48" s="14">
        <v>45624.0</v>
      </c>
      <c r="B48" s="8" t="str">
        <f t="shared" si="1"/>
        <v>Nov-24</v>
      </c>
      <c r="D48" s="12" t="s">
        <v>14</v>
      </c>
      <c r="E48" s="13">
        <v>92.0</v>
      </c>
      <c r="G48" s="13">
        <f t="shared" si="2"/>
        <v>92</v>
      </c>
      <c r="H48" s="13" t="s">
        <v>32</v>
      </c>
    </row>
    <row r="49" ht="15.75" customHeight="1">
      <c r="A49" s="14">
        <v>45624.0</v>
      </c>
      <c r="B49" s="8" t="str">
        <f t="shared" si="1"/>
        <v>Nov-24</v>
      </c>
      <c r="C49" s="13">
        <v>72.0</v>
      </c>
      <c r="D49" s="12" t="s">
        <v>17</v>
      </c>
      <c r="E49" s="13">
        <v>409.0</v>
      </c>
      <c r="F49" s="13">
        <v>8.0</v>
      </c>
      <c r="G49" s="13">
        <f t="shared" si="2"/>
        <v>417</v>
      </c>
      <c r="H49" s="13" t="s">
        <v>32</v>
      </c>
    </row>
    <row r="50" ht="15.75" customHeight="1">
      <c r="A50" s="14">
        <v>45625.0</v>
      </c>
      <c r="B50" s="8" t="str">
        <f t="shared" si="1"/>
        <v>Nov-24</v>
      </c>
      <c r="D50" s="12" t="s">
        <v>14</v>
      </c>
      <c r="E50" s="13">
        <v>110.0</v>
      </c>
      <c r="G50" s="13">
        <f t="shared" si="2"/>
        <v>110</v>
      </c>
      <c r="H50" s="13" t="s">
        <v>32</v>
      </c>
    </row>
    <row r="51" ht="15.75" customHeight="1">
      <c r="A51" s="14">
        <v>45626.0</v>
      </c>
      <c r="B51" s="8" t="str">
        <f t="shared" si="1"/>
        <v>Nov-24</v>
      </c>
      <c r="D51" s="12" t="s">
        <v>14</v>
      </c>
      <c r="E51" s="13">
        <v>77.0</v>
      </c>
      <c r="G51" s="13">
        <f t="shared" si="2"/>
        <v>77</v>
      </c>
      <c r="H51" s="13" t="s">
        <v>32</v>
      </c>
    </row>
    <row r="52" ht="15.75" customHeight="1">
      <c r="A52" s="14">
        <v>45626.0</v>
      </c>
      <c r="B52" s="8" t="str">
        <f t="shared" si="1"/>
        <v>Nov-24</v>
      </c>
      <c r="C52" s="13">
        <v>72.0</v>
      </c>
      <c r="D52" s="12" t="s">
        <v>14</v>
      </c>
      <c r="E52" s="13">
        <v>109.0</v>
      </c>
      <c r="G52" s="13">
        <f t="shared" si="2"/>
        <v>109</v>
      </c>
      <c r="H52" s="13" t="s">
        <v>32</v>
      </c>
    </row>
    <row r="53" ht="15.75" customHeight="1">
      <c r="A53" s="14">
        <v>45629.0</v>
      </c>
      <c r="B53" s="8" t="str">
        <f t="shared" si="1"/>
        <v>Dec-24</v>
      </c>
      <c r="D53" s="12" t="s">
        <v>14</v>
      </c>
      <c r="E53" s="13">
        <v>152.0</v>
      </c>
      <c r="G53" s="13">
        <f t="shared" si="2"/>
        <v>152</v>
      </c>
      <c r="H53" s="13" t="s">
        <v>32</v>
      </c>
    </row>
    <row r="54" ht="15.75" customHeight="1">
      <c r="A54" s="14">
        <v>45630.0</v>
      </c>
      <c r="B54" s="8" t="str">
        <f t="shared" si="1"/>
        <v>Dec-24</v>
      </c>
      <c r="D54" s="12" t="s">
        <v>11</v>
      </c>
      <c r="E54" s="13">
        <v>23.0</v>
      </c>
      <c r="G54" s="13">
        <f t="shared" si="2"/>
        <v>23</v>
      </c>
      <c r="H54" s="13" t="s">
        <v>32</v>
      </c>
    </row>
    <row r="55" ht="15.75" customHeight="1">
      <c r="A55" s="14">
        <v>45630.0</v>
      </c>
      <c r="B55" s="8" t="str">
        <f t="shared" si="1"/>
        <v>Dec-24</v>
      </c>
      <c r="D55" s="12" t="s">
        <v>14</v>
      </c>
      <c r="E55" s="13">
        <v>214.0</v>
      </c>
      <c r="G55" s="13">
        <f t="shared" si="2"/>
        <v>214</v>
      </c>
      <c r="H55" s="13" t="s">
        <v>32</v>
      </c>
    </row>
    <row r="56" ht="15.75" customHeight="1">
      <c r="A56" s="14">
        <v>45630.0</v>
      </c>
      <c r="B56" s="8" t="str">
        <f t="shared" si="1"/>
        <v>Dec-24</v>
      </c>
      <c r="C56" s="13">
        <v>72.0</v>
      </c>
      <c r="D56" s="12" t="s">
        <v>17</v>
      </c>
      <c r="E56" s="13">
        <v>51.0</v>
      </c>
      <c r="G56" s="13">
        <f t="shared" si="2"/>
        <v>51</v>
      </c>
      <c r="H56" s="13" t="s">
        <v>32</v>
      </c>
    </row>
    <row r="57" ht="15.75" customHeight="1">
      <c r="A57" s="14">
        <v>45630.0</v>
      </c>
      <c r="B57" s="8" t="str">
        <f t="shared" si="1"/>
        <v>Dec-24</v>
      </c>
      <c r="C57" s="13">
        <v>73.0</v>
      </c>
      <c r="D57" s="12" t="s">
        <v>11</v>
      </c>
      <c r="E57" s="13">
        <v>67.0</v>
      </c>
      <c r="G57" s="13">
        <f t="shared" si="2"/>
        <v>67</v>
      </c>
      <c r="H57" s="13" t="s">
        <v>32</v>
      </c>
    </row>
    <row r="58" ht="15.75" customHeight="1">
      <c r="A58" s="14">
        <v>45630.0</v>
      </c>
      <c r="B58" s="8" t="str">
        <f t="shared" si="1"/>
        <v>Dec-24</v>
      </c>
      <c r="C58" s="13">
        <v>73.0</v>
      </c>
      <c r="D58" s="12" t="s">
        <v>17</v>
      </c>
      <c r="E58" s="13">
        <v>157.0</v>
      </c>
      <c r="G58" s="13">
        <f t="shared" si="2"/>
        <v>157</v>
      </c>
      <c r="H58" s="13" t="s">
        <v>32</v>
      </c>
    </row>
    <row r="59" ht="15.75" customHeight="1">
      <c r="A59" s="14">
        <v>45631.0</v>
      </c>
      <c r="B59" s="8" t="str">
        <f t="shared" si="1"/>
        <v>Dec-24</v>
      </c>
      <c r="C59" s="13">
        <v>73.0</v>
      </c>
      <c r="D59" s="12" t="s">
        <v>17</v>
      </c>
      <c r="E59" s="13">
        <v>72.0</v>
      </c>
      <c r="G59" s="13">
        <f t="shared" si="2"/>
        <v>72</v>
      </c>
      <c r="H59" s="13" t="s">
        <v>32</v>
      </c>
    </row>
    <row r="60" ht="15.75" customHeight="1">
      <c r="A60" s="14">
        <v>45631.0</v>
      </c>
      <c r="B60" s="8" t="str">
        <f t="shared" si="1"/>
        <v>Dec-24</v>
      </c>
      <c r="D60" s="12" t="s">
        <v>14</v>
      </c>
      <c r="E60" s="13">
        <v>132.0</v>
      </c>
      <c r="G60" s="13">
        <f t="shared" si="2"/>
        <v>132</v>
      </c>
      <c r="H60" s="13" t="s">
        <v>32</v>
      </c>
    </row>
    <row r="61" ht="15.75" customHeight="1">
      <c r="A61" s="14">
        <v>45632.0</v>
      </c>
      <c r="B61" s="8" t="str">
        <f t="shared" si="1"/>
        <v>Dec-24</v>
      </c>
      <c r="C61" s="13">
        <v>73.0</v>
      </c>
      <c r="D61" s="12" t="s">
        <v>17</v>
      </c>
      <c r="E61" s="13">
        <v>120.0</v>
      </c>
      <c r="G61" s="13">
        <f t="shared" si="2"/>
        <v>120</v>
      </c>
      <c r="H61" s="13" t="s">
        <v>12</v>
      </c>
    </row>
    <row r="62" ht="15.75" customHeight="1">
      <c r="A62" s="14">
        <v>45635.0</v>
      </c>
      <c r="B62" s="8" t="str">
        <f t="shared" si="1"/>
        <v>Dec-24</v>
      </c>
      <c r="D62" s="12" t="s">
        <v>14</v>
      </c>
      <c r="E62" s="13">
        <v>292.0</v>
      </c>
      <c r="G62" s="13">
        <f t="shared" si="2"/>
        <v>292</v>
      </c>
      <c r="H62" s="13" t="s">
        <v>32</v>
      </c>
    </row>
    <row r="63" ht="15.75" customHeight="1">
      <c r="A63" s="14">
        <v>45635.0</v>
      </c>
      <c r="B63" s="8" t="str">
        <f t="shared" si="1"/>
        <v>Dec-24</v>
      </c>
      <c r="D63" s="12" t="s">
        <v>31</v>
      </c>
      <c r="E63" s="13">
        <v>11.0</v>
      </c>
      <c r="G63" s="13">
        <f t="shared" si="2"/>
        <v>11</v>
      </c>
      <c r="H63" s="13" t="s">
        <v>32</v>
      </c>
    </row>
    <row r="64" ht="15.75" customHeight="1">
      <c r="A64" s="14">
        <v>45635.0</v>
      </c>
      <c r="B64" s="8" t="str">
        <f t="shared" si="1"/>
        <v>Dec-24</v>
      </c>
      <c r="D64" s="12" t="s">
        <v>24</v>
      </c>
      <c r="E64" s="13">
        <v>2.0</v>
      </c>
      <c r="G64" s="13">
        <f t="shared" si="2"/>
        <v>2</v>
      </c>
      <c r="H64" s="13" t="s">
        <v>32</v>
      </c>
    </row>
    <row r="65" ht="15.75" customHeight="1">
      <c r="A65" s="14">
        <v>45635.0</v>
      </c>
      <c r="B65" s="8" t="str">
        <f t="shared" si="1"/>
        <v>Dec-24</v>
      </c>
      <c r="D65" s="12" t="s">
        <v>15</v>
      </c>
      <c r="E65" s="13">
        <v>1.0</v>
      </c>
      <c r="G65" s="13">
        <f t="shared" si="2"/>
        <v>1</v>
      </c>
      <c r="H65" s="13" t="s">
        <v>32</v>
      </c>
    </row>
    <row r="66" ht="15.75" customHeight="1">
      <c r="A66" s="14">
        <v>45636.0</v>
      </c>
      <c r="B66" s="8" t="str">
        <f t="shared" si="1"/>
        <v>Dec-24</v>
      </c>
      <c r="D66" s="12" t="s">
        <v>14</v>
      </c>
      <c r="E66" s="13">
        <v>253.0</v>
      </c>
      <c r="F66" s="13">
        <v>4.0</v>
      </c>
      <c r="G66" s="13">
        <f t="shared" si="2"/>
        <v>257</v>
      </c>
      <c r="H66" s="13" t="s">
        <v>32</v>
      </c>
    </row>
    <row r="67" ht="15.75" customHeight="1">
      <c r="A67" s="14">
        <v>45636.0</v>
      </c>
      <c r="B67" s="8" t="str">
        <f t="shared" si="1"/>
        <v>Dec-24</v>
      </c>
      <c r="D67" s="12" t="s">
        <v>14</v>
      </c>
      <c r="E67" s="13">
        <v>98.0</v>
      </c>
      <c r="G67" s="13">
        <f t="shared" si="2"/>
        <v>98</v>
      </c>
      <c r="H67" s="13" t="s">
        <v>49</v>
      </c>
    </row>
    <row r="68" ht="15.75" customHeight="1">
      <c r="A68" s="14">
        <v>45637.0</v>
      </c>
      <c r="B68" s="8" t="str">
        <f t="shared" si="1"/>
        <v>Dec-24</v>
      </c>
      <c r="D68" s="12" t="s">
        <v>14</v>
      </c>
      <c r="E68" s="13">
        <v>86.0</v>
      </c>
      <c r="G68" s="13">
        <f t="shared" si="2"/>
        <v>86</v>
      </c>
      <c r="H68" s="13" t="s">
        <v>32</v>
      </c>
    </row>
    <row r="69" ht="15.75" customHeight="1">
      <c r="A69" s="14">
        <v>45638.0</v>
      </c>
      <c r="B69" s="8" t="str">
        <f t="shared" si="1"/>
        <v>Dec-24</v>
      </c>
      <c r="D69" s="12" t="s">
        <v>14</v>
      </c>
      <c r="E69" s="13">
        <v>325.0</v>
      </c>
      <c r="G69" s="13">
        <f t="shared" si="2"/>
        <v>325</v>
      </c>
      <c r="H69" s="13" t="s">
        <v>49</v>
      </c>
    </row>
    <row r="70" ht="15.75" customHeight="1">
      <c r="A70" s="14">
        <v>45639.0</v>
      </c>
      <c r="B70" s="8" t="str">
        <f t="shared" si="1"/>
        <v>Dec-24</v>
      </c>
      <c r="D70" s="12" t="s">
        <v>14</v>
      </c>
      <c r="E70" s="13">
        <v>124.0</v>
      </c>
      <c r="G70" s="13">
        <f t="shared" si="2"/>
        <v>124</v>
      </c>
      <c r="H70" s="13" t="s">
        <v>12</v>
      </c>
    </row>
    <row r="71" ht="15.75" customHeight="1">
      <c r="A71" s="14">
        <v>45639.0</v>
      </c>
      <c r="B71" s="8" t="str">
        <f t="shared" si="1"/>
        <v>Dec-24</v>
      </c>
      <c r="C71" s="13">
        <v>74.0</v>
      </c>
      <c r="D71" s="12" t="s">
        <v>11</v>
      </c>
      <c r="E71" s="13">
        <v>140.0</v>
      </c>
      <c r="G71" s="13">
        <f t="shared" si="2"/>
        <v>140</v>
      </c>
      <c r="H71" s="13" t="s">
        <v>12</v>
      </c>
    </row>
    <row r="72" ht="15.75" customHeight="1">
      <c r="A72" s="14">
        <v>45639.0</v>
      </c>
      <c r="B72" s="8" t="str">
        <f t="shared" si="1"/>
        <v>Dec-24</v>
      </c>
      <c r="C72" s="13">
        <v>74.0</v>
      </c>
      <c r="D72" s="12" t="s">
        <v>11</v>
      </c>
      <c r="E72" s="13">
        <v>128.0</v>
      </c>
      <c r="G72" s="13">
        <f t="shared" si="2"/>
        <v>128</v>
      </c>
      <c r="H72" s="13" t="s">
        <v>49</v>
      </c>
    </row>
    <row r="73" ht="15.75" customHeight="1">
      <c r="A73" s="14">
        <v>45639.0</v>
      </c>
      <c r="B73" s="8" t="str">
        <f t="shared" si="1"/>
        <v>Dec-24</v>
      </c>
      <c r="C73" s="13">
        <v>74.0</v>
      </c>
      <c r="D73" s="12" t="s">
        <v>14</v>
      </c>
      <c r="E73" s="13">
        <v>268.0</v>
      </c>
      <c r="G73" s="13">
        <f t="shared" si="2"/>
        <v>268</v>
      </c>
      <c r="H73" s="13" t="s">
        <v>49</v>
      </c>
    </row>
    <row r="74" ht="15.75" customHeight="1">
      <c r="A74" s="14">
        <v>45643.0</v>
      </c>
      <c r="B74" s="8" t="str">
        <f t="shared" si="1"/>
        <v>Dec-24</v>
      </c>
      <c r="D74" s="12" t="s">
        <v>14</v>
      </c>
      <c r="E74" s="13">
        <v>178.0</v>
      </c>
      <c r="G74" s="13">
        <f t="shared" si="2"/>
        <v>178</v>
      </c>
      <c r="H74" s="13" t="s">
        <v>49</v>
      </c>
    </row>
    <row r="75" ht="15.75" customHeight="1">
      <c r="A75" s="14">
        <v>45643.0</v>
      </c>
      <c r="B75" s="8" t="str">
        <f t="shared" si="1"/>
        <v>Dec-24</v>
      </c>
      <c r="D75" s="12" t="s">
        <v>14</v>
      </c>
      <c r="E75" s="13">
        <v>244.0</v>
      </c>
      <c r="G75" s="13">
        <f t="shared" si="2"/>
        <v>244</v>
      </c>
      <c r="H75" s="13" t="s">
        <v>23</v>
      </c>
    </row>
    <row r="76" ht="15.75" customHeight="1">
      <c r="A76" s="14">
        <v>45647.0</v>
      </c>
      <c r="B76" s="8" t="str">
        <f t="shared" si="1"/>
        <v>Dec-24</v>
      </c>
      <c r="D76" s="12" t="s">
        <v>17</v>
      </c>
      <c r="E76" s="13">
        <v>410.0</v>
      </c>
      <c r="G76" s="13">
        <f t="shared" si="2"/>
        <v>410</v>
      </c>
      <c r="H76" s="13" t="s">
        <v>49</v>
      </c>
    </row>
    <row r="77" ht="15.75" customHeight="1">
      <c r="A77" s="14">
        <v>45650.0</v>
      </c>
      <c r="B77" s="8" t="str">
        <f t="shared" si="1"/>
        <v>Dec-24</v>
      </c>
      <c r="D77" s="12" t="s">
        <v>17</v>
      </c>
      <c r="E77" s="13">
        <v>98.0</v>
      </c>
      <c r="G77" s="13">
        <f t="shared" si="2"/>
        <v>98</v>
      </c>
      <c r="H77" s="13" t="s">
        <v>49</v>
      </c>
    </row>
    <row r="78" ht="15.75" customHeight="1">
      <c r="A78" s="14">
        <v>45650.0</v>
      </c>
      <c r="B78" s="8" t="str">
        <f t="shared" si="1"/>
        <v>Dec-24</v>
      </c>
      <c r="D78" s="12" t="s">
        <v>11</v>
      </c>
      <c r="E78" s="13">
        <v>240.0</v>
      </c>
      <c r="G78" s="13">
        <f t="shared" si="2"/>
        <v>240</v>
      </c>
      <c r="H78" s="13" t="s">
        <v>49</v>
      </c>
    </row>
    <row r="79" ht="15.75" customHeight="1">
      <c r="A79" s="14">
        <v>45652.0</v>
      </c>
      <c r="B79" s="8" t="str">
        <f t="shared" si="1"/>
        <v>Dec-24</v>
      </c>
      <c r="D79" s="12" t="s">
        <v>31</v>
      </c>
      <c r="E79" s="13">
        <v>110.0</v>
      </c>
      <c r="G79" s="13">
        <f t="shared" si="2"/>
        <v>110</v>
      </c>
      <c r="H79" s="13" t="s">
        <v>12</v>
      </c>
    </row>
    <row r="80" ht="15.75" customHeight="1">
      <c r="A80" s="14">
        <v>45652.0</v>
      </c>
      <c r="B80" s="8" t="str">
        <f t="shared" si="1"/>
        <v>Dec-24</v>
      </c>
      <c r="D80" s="12" t="s">
        <v>31</v>
      </c>
      <c r="E80" s="13">
        <v>230.0</v>
      </c>
      <c r="G80" s="13">
        <f t="shared" si="2"/>
        <v>230</v>
      </c>
      <c r="H80" s="13" t="s">
        <v>49</v>
      </c>
    </row>
    <row r="81" ht="15.75" customHeight="1">
      <c r="A81" s="14">
        <v>45653.0</v>
      </c>
      <c r="B81" s="8" t="str">
        <f t="shared" si="1"/>
        <v>Dec-24</v>
      </c>
      <c r="D81" s="12" t="s">
        <v>31</v>
      </c>
      <c r="E81" s="13">
        <v>203.0</v>
      </c>
      <c r="G81" s="13">
        <f t="shared" si="2"/>
        <v>203</v>
      </c>
      <c r="H81" s="13" t="s">
        <v>12</v>
      </c>
    </row>
    <row r="82" ht="15.75" customHeight="1">
      <c r="A82" s="14">
        <v>45656.0</v>
      </c>
      <c r="B82" s="8" t="str">
        <f t="shared" si="1"/>
        <v>Dec-24</v>
      </c>
      <c r="D82" s="12" t="s">
        <v>17</v>
      </c>
      <c r="E82" s="13">
        <v>300.0</v>
      </c>
      <c r="G82" s="13">
        <f t="shared" si="2"/>
        <v>300</v>
      </c>
      <c r="H82" s="13" t="s">
        <v>53</v>
      </c>
    </row>
    <row r="83" ht="15.75" customHeight="1">
      <c r="A83" s="14">
        <v>45656.0</v>
      </c>
      <c r="B83" s="8" t="str">
        <f t="shared" si="1"/>
        <v>Dec-24</v>
      </c>
      <c r="D83" s="12" t="s">
        <v>11</v>
      </c>
      <c r="E83" s="13">
        <v>100.0</v>
      </c>
      <c r="G83" s="13">
        <f t="shared" si="2"/>
        <v>100</v>
      </c>
      <c r="H83" s="13" t="s">
        <v>53</v>
      </c>
    </row>
    <row r="84" ht="15.75" customHeight="1">
      <c r="A84" s="14">
        <v>45656.0</v>
      </c>
      <c r="B84" s="8" t="str">
        <f t="shared" si="1"/>
        <v>Dec-24</v>
      </c>
      <c r="D84" s="12" t="s">
        <v>17</v>
      </c>
      <c r="E84" s="13">
        <v>204.0</v>
      </c>
      <c r="G84" s="13">
        <f t="shared" si="2"/>
        <v>204</v>
      </c>
      <c r="H84" s="13" t="s">
        <v>12</v>
      </c>
    </row>
    <row r="85" ht="15.75" customHeight="1">
      <c r="A85" s="14">
        <v>45657.0</v>
      </c>
      <c r="B85" s="8" t="str">
        <f t="shared" si="1"/>
        <v>Dec-24</v>
      </c>
      <c r="D85" s="12" t="s">
        <v>11</v>
      </c>
      <c r="E85" s="13">
        <v>417.0</v>
      </c>
      <c r="G85" s="13">
        <f t="shared" si="2"/>
        <v>417</v>
      </c>
      <c r="H85" s="13" t="s">
        <v>49</v>
      </c>
    </row>
    <row r="86" ht="15.75" customHeight="1">
      <c r="A86" s="14">
        <v>45657.0</v>
      </c>
      <c r="B86" s="8" t="str">
        <f t="shared" si="1"/>
        <v>Dec-24</v>
      </c>
      <c r="D86" s="12" t="s">
        <v>17</v>
      </c>
      <c r="E86" s="13">
        <v>158.0</v>
      </c>
      <c r="G86" s="13">
        <f t="shared" si="2"/>
        <v>158</v>
      </c>
      <c r="H86" s="13" t="s">
        <v>49</v>
      </c>
    </row>
    <row r="87" ht="15.75" customHeight="1">
      <c r="A87" s="14">
        <v>45660.0</v>
      </c>
      <c r="B87" s="8" t="str">
        <f t="shared" si="1"/>
        <v>Jan-25</v>
      </c>
      <c r="D87" s="12" t="s">
        <v>11</v>
      </c>
      <c r="E87" s="13">
        <v>177.0</v>
      </c>
      <c r="G87" s="13">
        <f t="shared" si="2"/>
        <v>177</v>
      </c>
      <c r="H87" s="13" t="s">
        <v>49</v>
      </c>
    </row>
    <row r="88" ht="15.75" customHeight="1">
      <c r="A88" s="14">
        <v>45660.0</v>
      </c>
      <c r="B88" s="8" t="str">
        <f t="shared" si="1"/>
        <v>Jan-25</v>
      </c>
      <c r="D88" s="12" t="s">
        <v>14</v>
      </c>
      <c r="E88" s="13">
        <v>60.0</v>
      </c>
      <c r="G88" s="13">
        <f t="shared" si="2"/>
        <v>60</v>
      </c>
      <c r="H88" s="13" t="s">
        <v>49</v>
      </c>
    </row>
    <row r="89" ht="15.75" customHeight="1">
      <c r="A89" s="14">
        <v>45663.0</v>
      </c>
      <c r="B89" s="8" t="str">
        <f t="shared" si="1"/>
        <v>Jan-25</v>
      </c>
      <c r="C89" s="13" t="s">
        <v>40</v>
      </c>
      <c r="D89" s="12" t="s">
        <v>15</v>
      </c>
      <c r="E89" s="13">
        <v>40.0</v>
      </c>
      <c r="G89" s="13">
        <f t="shared" si="2"/>
        <v>40</v>
      </c>
      <c r="H89" s="13" t="s">
        <v>49</v>
      </c>
    </row>
    <row r="90" ht="15.75" customHeight="1">
      <c r="A90" s="14">
        <v>45663.0</v>
      </c>
      <c r="B90" s="8" t="str">
        <f t="shared" si="1"/>
        <v>Jan-25</v>
      </c>
      <c r="C90" s="13" t="s">
        <v>40</v>
      </c>
      <c r="D90" s="12" t="s">
        <v>14</v>
      </c>
      <c r="E90" s="13">
        <v>50.0</v>
      </c>
      <c r="G90" s="13">
        <f t="shared" si="2"/>
        <v>50</v>
      </c>
      <c r="H90" s="13" t="s">
        <v>49</v>
      </c>
    </row>
    <row r="91" ht="15.75" customHeight="1">
      <c r="A91" s="14">
        <v>45663.0</v>
      </c>
      <c r="B91" s="8" t="str">
        <f t="shared" si="1"/>
        <v>Jan-25</v>
      </c>
      <c r="C91" s="13" t="s">
        <v>40</v>
      </c>
      <c r="D91" s="12" t="s">
        <v>11</v>
      </c>
      <c r="E91" s="13">
        <v>281.0</v>
      </c>
      <c r="G91" s="13">
        <f t="shared" si="2"/>
        <v>281</v>
      </c>
      <c r="H91" s="13" t="s">
        <v>49</v>
      </c>
    </row>
    <row r="92" ht="15.75" customHeight="1">
      <c r="A92" s="14">
        <v>45665.0</v>
      </c>
      <c r="B92" s="8" t="str">
        <f t="shared" si="1"/>
        <v>Jan-25</v>
      </c>
      <c r="C92" s="13" t="s">
        <v>40</v>
      </c>
      <c r="D92" s="12" t="s">
        <v>14</v>
      </c>
      <c r="E92" s="13">
        <v>121.0</v>
      </c>
      <c r="G92" s="13">
        <f t="shared" si="2"/>
        <v>121</v>
      </c>
      <c r="H92" s="13" t="s">
        <v>49</v>
      </c>
    </row>
    <row r="93" ht="15.75" customHeight="1">
      <c r="A93" s="14">
        <v>45665.0</v>
      </c>
      <c r="B93" s="8" t="str">
        <f t="shared" si="1"/>
        <v>Jan-25</v>
      </c>
      <c r="C93" s="13" t="s">
        <v>40</v>
      </c>
      <c r="D93" s="12" t="s">
        <v>11</v>
      </c>
      <c r="E93" s="13">
        <v>67.0</v>
      </c>
      <c r="G93" s="13">
        <f t="shared" si="2"/>
        <v>67</v>
      </c>
      <c r="H93" s="13" t="s">
        <v>49</v>
      </c>
    </row>
    <row r="94" ht="15.75" customHeight="1">
      <c r="A94" s="14">
        <v>45665.0</v>
      </c>
      <c r="B94" s="8" t="str">
        <f t="shared" si="1"/>
        <v>Jan-25</v>
      </c>
      <c r="C94" s="13" t="s">
        <v>40</v>
      </c>
      <c r="D94" s="12" t="s">
        <v>17</v>
      </c>
      <c r="E94" s="13">
        <v>76.0</v>
      </c>
      <c r="G94" s="13">
        <f t="shared" si="2"/>
        <v>76</v>
      </c>
      <c r="H94" s="13" t="s">
        <v>49</v>
      </c>
    </row>
    <row r="95" ht="15.75" customHeight="1">
      <c r="A95" s="14">
        <v>45665.0</v>
      </c>
      <c r="B95" s="8" t="str">
        <f t="shared" si="1"/>
        <v>Jan-25</v>
      </c>
      <c r="C95" s="13" t="s">
        <v>40</v>
      </c>
      <c r="D95" s="12" t="s">
        <v>17</v>
      </c>
      <c r="E95" s="13">
        <v>200.0</v>
      </c>
      <c r="F95" s="13">
        <v>2.0</v>
      </c>
      <c r="G95" s="13">
        <f t="shared" si="2"/>
        <v>202</v>
      </c>
      <c r="H95" s="13" t="s">
        <v>23</v>
      </c>
    </row>
    <row r="96" ht="15.75" customHeight="1">
      <c r="A96" s="14">
        <v>45666.0</v>
      </c>
      <c r="B96" s="8" t="str">
        <f t="shared" si="1"/>
        <v>Jan-25</v>
      </c>
      <c r="D96" s="12" t="s">
        <v>14</v>
      </c>
      <c r="E96" s="13">
        <v>73.0</v>
      </c>
      <c r="F96" s="13">
        <v>4.0</v>
      </c>
      <c r="G96" s="13">
        <f t="shared" si="2"/>
        <v>77</v>
      </c>
      <c r="H96" s="13" t="s">
        <v>23</v>
      </c>
    </row>
    <row r="97" ht="15.75" customHeight="1">
      <c r="A97" s="14">
        <v>45667.0</v>
      </c>
      <c r="B97" s="8" t="str">
        <f t="shared" si="1"/>
        <v>Jan-25</v>
      </c>
      <c r="D97" s="12" t="s">
        <v>31</v>
      </c>
      <c r="E97" s="13">
        <v>125.0</v>
      </c>
      <c r="F97" s="13">
        <v>4.0</v>
      </c>
      <c r="G97" s="13">
        <f t="shared" si="2"/>
        <v>129</v>
      </c>
      <c r="H97" s="13" t="s">
        <v>23</v>
      </c>
    </row>
    <row r="98" ht="15.75" customHeight="1">
      <c r="A98" s="14">
        <v>45667.0</v>
      </c>
      <c r="B98" s="8" t="str">
        <f t="shared" si="1"/>
        <v>Jan-25</v>
      </c>
      <c r="D98" s="12" t="s">
        <v>14</v>
      </c>
      <c r="E98" s="13">
        <v>80.0</v>
      </c>
      <c r="F98" s="13">
        <v>2.0</v>
      </c>
      <c r="G98" s="13">
        <f t="shared" si="2"/>
        <v>82</v>
      </c>
      <c r="H98" s="13" t="s">
        <v>23</v>
      </c>
    </row>
    <row r="99" ht="15.75" customHeight="1">
      <c r="A99" s="14">
        <v>45667.0</v>
      </c>
      <c r="B99" s="8" t="str">
        <f t="shared" si="1"/>
        <v>Jan-25</v>
      </c>
      <c r="D99" s="12" t="s">
        <v>17</v>
      </c>
      <c r="E99" s="13">
        <v>55.0</v>
      </c>
      <c r="G99" s="13">
        <f t="shared" si="2"/>
        <v>55</v>
      </c>
      <c r="H99" s="13" t="s">
        <v>23</v>
      </c>
    </row>
    <row r="100" ht="15.75" customHeight="1">
      <c r="A100" s="14">
        <v>45667.0</v>
      </c>
      <c r="B100" s="8" t="str">
        <f t="shared" si="1"/>
        <v>Jan-25</v>
      </c>
      <c r="D100" s="12" t="s">
        <v>15</v>
      </c>
      <c r="E100" s="13">
        <v>151.0</v>
      </c>
      <c r="G100" s="13">
        <f t="shared" si="2"/>
        <v>151</v>
      </c>
      <c r="H100" s="13" t="s">
        <v>23</v>
      </c>
    </row>
    <row r="101" ht="15.75" customHeight="1">
      <c r="A101" s="14">
        <v>45668.0</v>
      </c>
      <c r="B101" s="8" t="str">
        <f t="shared" si="1"/>
        <v>Jan-25</v>
      </c>
      <c r="D101" s="12" t="s">
        <v>15</v>
      </c>
      <c r="E101" s="13">
        <v>158.0</v>
      </c>
      <c r="G101" s="13">
        <f t="shared" si="2"/>
        <v>158</v>
      </c>
      <c r="H101" s="13" t="s">
        <v>49</v>
      </c>
    </row>
    <row r="102" ht="15.75" customHeight="1">
      <c r="A102" s="14">
        <v>45668.0</v>
      </c>
      <c r="B102" s="8" t="str">
        <f t="shared" si="1"/>
        <v>Jan-25</v>
      </c>
      <c r="D102" s="12" t="s">
        <v>17</v>
      </c>
      <c r="E102" s="13">
        <v>112.0</v>
      </c>
      <c r="G102" s="13">
        <f t="shared" si="2"/>
        <v>112</v>
      </c>
      <c r="H102" s="13" t="s">
        <v>49</v>
      </c>
    </row>
    <row r="103" ht="15.75" customHeight="1">
      <c r="A103" s="14">
        <v>45671.0</v>
      </c>
      <c r="B103" s="8" t="str">
        <f t="shared" si="1"/>
        <v>Jan-25</v>
      </c>
      <c r="D103" s="12" t="s">
        <v>14</v>
      </c>
      <c r="E103" s="13">
        <v>150.0</v>
      </c>
      <c r="F103" s="13">
        <v>2.0</v>
      </c>
      <c r="G103" s="13">
        <f t="shared" si="2"/>
        <v>152</v>
      </c>
      <c r="H103" s="13" t="s">
        <v>23</v>
      </c>
    </row>
    <row r="104" ht="15.75" customHeight="1">
      <c r="A104" s="14">
        <v>45671.0</v>
      </c>
      <c r="B104" s="8" t="str">
        <f t="shared" si="1"/>
        <v>Jan-25</v>
      </c>
      <c r="D104" s="12" t="s">
        <v>24</v>
      </c>
      <c r="E104" s="13">
        <v>36.0</v>
      </c>
      <c r="G104" s="13">
        <f t="shared" si="2"/>
        <v>36</v>
      </c>
      <c r="H104" s="13" t="s">
        <v>23</v>
      </c>
    </row>
    <row r="105" ht="15.75" customHeight="1">
      <c r="A105" s="14">
        <v>45672.0</v>
      </c>
      <c r="B105" s="8" t="str">
        <f t="shared" si="1"/>
        <v>Jan-25</v>
      </c>
      <c r="D105" s="12" t="s">
        <v>14</v>
      </c>
      <c r="E105" s="13">
        <v>295.0</v>
      </c>
      <c r="G105" s="13">
        <f t="shared" si="2"/>
        <v>295</v>
      </c>
      <c r="H105" s="13" t="s">
        <v>49</v>
      </c>
    </row>
    <row r="106" ht="15.75" customHeight="1">
      <c r="A106" s="14">
        <v>45674.0</v>
      </c>
      <c r="B106" s="8" t="str">
        <f t="shared" si="1"/>
        <v>Jan-25</v>
      </c>
      <c r="D106" s="12" t="s">
        <v>14</v>
      </c>
      <c r="E106" s="13">
        <v>102.0</v>
      </c>
      <c r="G106" s="13">
        <f t="shared" si="2"/>
        <v>102</v>
      </c>
      <c r="H106" s="13" t="s">
        <v>49</v>
      </c>
    </row>
    <row r="107" ht="15.75" customHeight="1">
      <c r="A107" s="14">
        <v>45674.0</v>
      </c>
      <c r="B107" s="8" t="str">
        <f t="shared" si="1"/>
        <v>Jan-25</v>
      </c>
      <c r="D107" s="12" t="s">
        <v>17</v>
      </c>
      <c r="E107" s="13">
        <v>101.0</v>
      </c>
      <c r="G107" s="13">
        <f t="shared" si="2"/>
        <v>101</v>
      </c>
      <c r="H107" s="13" t="s">
        <v>49</v>
      </c>
    </row>
    <row r="108" ht="15.75" customHeight="1">
      <c r="A108" s="14">
        <v>45675.0</v>
      </c>
      <c r="B108" s="8" t="str">
        <f t="shared" si="1"/>
        <v>Jan-25</v>
      </c>
      <c r="D108" s="12" t="s">
        <v>17</v>
      </c>
      <c r="E108" s="13">
        <v>280.0</v>
      </c>
      <c r="G108" s="13">
        <f t="shared" si="2"/>
        <v>280</v>
      </c>
      <c r="H108" s="13" t="s">
        <v>23</v>
      </c>
      <c r="I108" s="13" t="s">
        <v>122</v>
      </c>
    </row>
    <row r="109" ht="15.75" customHeight="1">
      <c r="A109" s="14">
        <v>45675.0</v>
      </c>
      <c r="B109" s="8" t="str">
        <f t="shared" si="1"/>
        <v>Jan-25</v>
      </c>
      <c r="D109" s="12" t="s">
        <v>14</v>
      </c>
      <c r="E109" s="13">
        <v>155.0</v>
      </c>
      <c r="G109" s="13">
        <f t="shared" si="2"/>
        <v>155</v>
      </c>
      <c r="H109" s="13" t="s">
        <v>49</v>
      </c>
    </row>
    <row r="110" ht="15.75" customHeight="1">
      <c r="A110" s="14">
        <v>45675.0</v>
      </c>
      <c r="B110" s="8" t="str">
        <f t="shared" si="1"/>
        <v>Jan-25</v>
      </c>
      <c r="D110" s="12" t="s">
        <v>15</v>
      </c>
      <c r="E110" s="13">
        <v>45.0</v>
      </c>
      <c r="G110" s="13">
        <f t="shared" si="2"/>
        <v>45</v>
      </c>
      <c r="H110" s="13" t="s">
        <v>49</v>
      </c>
    </row>
    <row r="111" ht="15.75" customHeight="1">
      <c r="A111" s="14">
        <v>45677.0</v>
      </c>
      <c r="B111" s="8" t="str">
        <f t="shared" si="1"/>
        <v>Jan-25</v>
      </c>
      <c r="D111" s="12" t="s">
        <v>17</v>
      </c>
      <c r="E111" s="13">
        <v>248.0</v>
      </c>
      <c r="G111" s="13">
        <f t="shared" si="2"/>
        <v>248</v>
      </c>
      <c r="H111" s="13" t="s">
        <v>49</v>
      </c>
    </row>
    <row r="112" ht="15.75" customHeight="1">
      <c r="A112" s="14">
        <v>45677.0</v>
      </c>
      <c r="B112" s="8" t="str">
        <f t="shared" si="1"/>
        <v>Jan-25</v>
      </c>
      <c r="D112" s="12" t="s">
        <v>17</v>
      </c>
      <c r="E112" s="13">
        <v>360.0</v>
      </c>
      <c r="F112" s="13">
        <v>5.0</v>
      </c>
      <c r="G112" s="13">
        <f t="shared" si="2"/>
        <v>365</v>
      </c>
      <c r="H112" s="13" t="s">
        <v>23</v>
      </c>
    </row>
    <row r="113" ht="15.75" customHeight="1">
      <c r="A113" s="14">
        <v>45677.0</v>
      </c>
      <c r="B113" s="8" t="str">
        <f t="shared" si="1"/>
        <v>Jan-25</v>
      </c>
      <c r="D113" s="12" t="s">
        <v>15</v>
      </c>
      <c r="E113" s="13">
        <v>10.0</v>
      </c>
      <c r="G113" s="13">
        <f t="shared" si="2"/>
        <v>10</v>
      </c>
      <c r="H113" s="13" t="s">
        <v>23</v>
      </c>
    </row>
    <row r="114" ht="15.75" customHeight="1">
      <c r="A114" s="14">
        <v>45678.0</v>
      </c>
      <c r="B114" s="8" t="str">
        <f t="shared" si="1"/>
        <v>Jan-25</v>
      </c>
      <c r="D114" s="12" t="s">
        <v>11</v>
      </c>
      <c r="E114" s="13">
        <v>20.0</v>
      </c>
      <c r="G114" s="13">
        <f t="shared" si="2"/>
        <v>20</v>
      </c>
      <c r="H114" s="13" t="s">
        <v>23</v>
      </c>
    </row>
    <row r="115" ht="15.75" customHeight="1">
      <c r="A115" s="14">
        <v>45678.0</v>
      </c>
      <c r="B115" s="8" t="str">
        <f t="shared" si="1"/>
        <v>Jan-25</v>
      </c>
      <c r="D115" s="12" t="s">
        <v>14</v>
      </c>
      <c r="E115" s="13">
        <v>40.0</v>
      </c>
      <c r="G115" s="13">
        <f t="shared" si="2"/>
        <v>40</v>
      </c>
      <c r="H115" s="13" t="s">
        <v>23</v>
      </c>
    </row>
    <row r="116" ht="15.75" customHeight="1">
      <c r="A116" s="14">
        <v>45678.0</v>
      </c>
      <c r="B116" s="8" t="str">
        <f t="shared" si="1"/>
        <v>Jan-25</v>
      </c>
      <c r="D116" s="12" t="s">
        <v>24</v>
      </c>
      <c r="E116" s="13">
        <v>100.0</v>
      </c>
      <c r="G116" s="13">
        <f t="shared" si="2"/>
        <v>100</v>
      </c>
      <c r="H116" s="13" t="s">
        <v>23</v>
      </c>
    </row>
    <row r="117" ht="15.75" customHeight="1">
      <c r="A117" s="14">
        <v>45678.0</v>
      </c>
      <c r="B117" s="8" t="str">
        <f t="shared" si="1"/>
        <v>Jan-25</v>
      </c>
      <c r="D117" s="12" t="s">
        <v>17</v>
      </c>
      <c r="E117" s="13">
        <v>80.0</v>
      </c>
      <c r="F117" s="13">
        <v>4.0</v>
      </c>
      <c r="G117" s="13">
        <f t="shared" si="2"/>
        <v>84</v>
      </c>
      <c r="H117" s="13" t="s">
        <v>23</v>
      </c>
    </row>
    <row r="118" ht="15.75" customHeight="1">
      <c r="A118" s="14">
        <v>45679.0</v>
      </c>
      <c r="B118" s="8" t="str">
        <f t="shared" si="1"/>
        <v>Jan-25</v>
      </c>
      <c r="D118" s="12" t="s">
        <v>14</v>
      </c>
      <c r="E118" s="13">
        <v>168.0</v>
      </c>
      <c r="G118" s="13">
        <f t="shared" si="2"/>
        <v>168</v>
      </c>
      <c r="H118" s="13" t="s">
        <v>49</v>
      </c>
    </row>
    <row r="119" ht="15.75" customHeight="1">
      <c r="A119" s="14">
        <v>45680.0</v>
      </c>
      <c r="B119" s="8" t="str">
        <f t="shared" si="1"/>
        <v>Jan-25</v>
      </c>
      <c r="D119" s="12" t="s">
        <v>14</v>
      </c>
      <c r="E119" s="13">
        <v>348.0</v>
      </c>
      <c r="G119" s="13">
        <f t="shared" si="2"/>
        <v>348</v>
      </c>
      <c r="H119" s="13" t="s">
        <v>49</v>
      </c>
    </row>
    <row r="120" ht="15.75" customHeight="1">
      <c r="A120" s="14">
        <v>45681.0</v>
      </c>
      <c r="B120" s="8" t="str">
        <f t="shared" si="1"/>
        <v>Jan-25</v>
      </c>
      <c r="D120" s="12" t="s">
        <v>11</v>
      </c>
      <c r="E120" s="13">
        <v>430.0</v>
      </c>
      <c r="G120" s="13">
        <f t="shared" si="2"/>
        <v>430</v>
      </c>
      <c r="H120" s="13" t="s">
        <v>49</v>
      </c>
    </row>
    <row r="121" ht="15.75" customHeight="1">
      <c r="A121" s="14">
        <v>45684.0</v>
      </c>
      <c r="B121" s="8" t="str">
        <f t="shared" si="1"/>
        <v>Jan-25</v>
      </c>
      <c r="D121" s="12" t="s">
        <v>17</v>
      </c>
      <c r="E121" s="13">
        <v>267.0</v>
      </c>
      <c r="G121" s="13">
        <f t="shared" si="2"/>
        <v>267</v>
      </c>
      <c r="H121" s="13" t="s">
        <v>49</v>
      </c>
    </row>
    <row r="122" ht="15.75" customHeight="1">
      <c r="A122" s="14">
        <v>45687.0</v>
      </c>
      <c r="B122" s="8" t="str">
        <f t="shared" si="1"/>
        <v>Jan-25</v>
      </c>
      <c r="D122" s="12" t="s">
        <v>17</v>
      </c>
      <c r="E122" s="13">
        <v>219.0</v>
      </c>
      <c r="G122" s="13">
        <f t="shared" si="2"/>
        <v>219</v>
      </c>
      <c r="H122" s="13" t="s">
        <v>49</v>
      </c>
    </row>
    <row r="123" ht="15.75" customHeight="1">
      <c r="A123" s="14">
        <v>45689.0</v>
      </c>
      <c r="B123" s="8" t="str">
        <f t="shared" si="1"/>
        <v>Feb-25</v>
      </c>
      <c r="D123" s="12" t="s">
        <v>14</v>
      </c>
      <c r="E123" s="13">
        <v>340.0</v>
      </c>
      <c r="G123" s="13">
        <f t="shared" si="2"/>
        <v>340</v>
      </c>
      <c r="H123" s="13" t="s">
        <v>23</v>
      </c>
    </row>
    <row r="124" ht="15.75" customHeight="1">
      <c r="A124" s="14">
        <v>45691.0</v>
      </c>
      <c r="B124" s="8" t="str">
        <f t="shared" si="1"/>
        <v>Feb-25</v>
      </c>
      <c r="D124" s="12" t="s">
        <v>14</v>
      </c>
      <c r="E124" s="13">
        <v>270.0</v>
      </c>
      <c r="G124" s="13">
        <f t="shared" si="2"/>
        <v>270</v>
      </c>
      <c r="H124" s="13" t="s">
        <v>49</v>
      </c>
    </row>
    <row r="125" ht="15.75" customHeight="1">
      <c r="A125" s="14">
        <v>45691.0</v>
      </c>
      <c r="B125" s="8" t="str">
        <f t="shared" si="1"/>
        <v>Feb-25</v>
      </c>
      <c r="D125" s="12" t="s">
        <v>11</v>
      </c>
      <c r="E125" s="13">
        <v>200.0</v>
      </c>
      <c r="G125" s="13">
        <f t="shared" si="2"/>
        <v>200</v>
      </c>
      <c r="H125" s="13" t="s">
        <v>22</v>
      </c>
    </row>
    <row r="126" ht="15.75" customHeight="1">
      <c r="A126" s="14">
        <v>45692.0</v>
      </c>
      <c r="B126" s="8" t="str">
        <f t="shared" si="1"/>
        <v>Feb-25</v>
      </c>
      <c r="D126" s="12" t="s">
        <v>15</v>
      </c>
      <c r="E126" s="13">
        <v>268.0</v>
      </c>
      <c r="G126" s="13">
        <f t="shared" si="2"/>
        <v>268</v>
      </c>
      <c r="H126" s="13" t="s">
        <v>49</v>
      </c>
    </row>
    <row r="127" ht="15.75" customHeight="1">
      <c r="A127" s="14">
        <v>45692.0</v>
      </c>
      <c r="B127" s="8" t="str">
        <f t="shared" si="1"/>
        <v>Feb-25</v>
      </c>
      <c r="D127" s="12" t="s">
        <v>11</v>
      </c>
      <c r="E127" s="13">
        <v>120.0</v>
      </c>
      <c r="G127" s="13">
        <f t="shared" si="2"/>
        <v>120</v>
      </c>
      <c r="H127" s="13" t="s">
        <v>49</v>
      </c>
    </row>
    <row r="128" ht="15.75" customHeight="1">
      <c r="A128" s="14">
        <v>45696.0</v>
      </c>
      <c r="B128" s="8" t="str">
        <f t="shared" si="1"/>
        <v>Feb-25</v>
      </c>
      <c r="D128" s="12" t="s">
        <v>17</v>
      </c>
      <c r="E128" s="13">
        <v>163.0</v>
      </c>
      <c r="G128" s="13">
        <f t="shared" si="2"/>
        <v>163</v>
      </c>
      <c r="H128" s="13" t="s">
        <v>49</v>
      </c>
    </row>
    <row r="129" ht="15.75" customHeight="1">
      <c r="A129" s="14">
        <v>45703.0</v>
      </c>
      <c r="B129" s="8" t="str">
        <f t="shared" si="1"/>
        <v>Feb-25</v>
      </c>
      <c r="D129" s="12" t="s">
        <v>14</v>
      </c>
      <c r="E129" s="13">
        <v>168.0</v>
      </c>
      <c r="G129" s="13">
        <f t="shared" si="2"/>
        <v>168</v>
      </c>
      <c r="H129" s="13" t="s">
        <v>59</v>
      </c>
    </row>
    <row r="130" ht="15.75" customHeight="1">
      <c r="A130" s="14">
        <v>45703.0</v>
      </c>
      <c r="B130" s="8" t="str">
        <f t="shared" si="1"/>
        <v>Feb-25</v>
      </c>
      <c r="D130" s="12" t="s">
        <v>17</v>
      </c>
      <c r="E130" s="13">
        <v>414.0</v>
      </c>
      <c r="G130" s="13">
        <f t="shared" si="2"/>
        <v>414</v>
      </c>
      <c r="H130" s="13" t="s">
        <v>59</v>
      </c>
    </row>
    <row r="131" ht="15.75" customHeight="1">
      <c r="A131" s="14">
        <v>45703.0</v>
      </c>
      <c r="B131" s="8" t="str">
        <f t="shared" si="1"/>
        <v>Feb-25</v>
      </c>
      <c r="D131" s="12" t="s">
        <v>15</v>
      </c>
      <c r="E131" s="13">
        <v>350.0</v>
      </c>
      <c r="G131" s="13">
        <f t="shared" si="2"/>
        <v>350</v>
      </c>
      <c r="H131" s="13" t="s">
        <v>58</v>
      </c>
    </row>
    <row r="132" ht="15.75" customHeight="1">
      <c r="A132" s="14">
        <v>45703.0</v>
      </c>
      <c r="B132" s="8" t="str">
        <f t="shared" si="1"/>
        <v>Feb-25</v>
      </c>
      <c r="D132" s="12" t="s">
        <v>11</v>
      </c>
      <c r="E132" s="13">
        <v>225.0</v>
      </c>
      <c r="G132" s="13">
        <f t="shared" si="2"/>
        <v>225</v>
      </c>
      <c r="H132" s="13" t="s">
        <v>58</v>
      </c>
    </row>
    <row r="133" ht="15.75" customHeight="1">
      <c r="A133" s="14">
        <v>45706.0</v>
      </c>
      <c r="B133" s="8" t="str">
        <f t="shared" si="1"/>
        <v>Feb-25</v>
      </c>
      <c r="D133" s="12" t="s">
        <v>14</v>
      </c>
      <c r="E133" s="13">
        <v>315.0</v>
      </c>
      <c r="G133" s="13">
        <f t="shared" si="2"/>
        <v>315</v>
      </c>
      <c r="H133" s="13" t="s">
        <v>59</v>
      </c>
    </row>
    <row r="134" ht="15.75" customHeight="1">
      <c r="A134" s="14">
        <v>45706.0</v>
      </c>
      <c r="B134" s="8" t="str">
        <f t="shared" si="1"/>
        <v>Feb-25</v>
      </c>
      <c r="D134" s="12" t="s">
        <v>15</v>
      </c>
      <c r="E134" s="13">
        <v>199.0</v>
      </c>
      <c r="G134" s="13">
        <f t="shared" si="2"/>
        <v>199</v>
      </c>
      <c r="H134" s="13" t="s">
        <v>59</v>
      </c>
    </row>
    <row r="135" ht="15.75" customHeight="1">
      <c r="A135" s="14">
        <v>45707.0</v>
      </c>
      <c r="B135" s="8" t="str">
        <f t="shared" si="1"/>
        <v>Feb-25</v>
      </c>
      <c r="D135" s="12" t="s">
        <v>15</v>
      </c>
      <c r="E135" s="13">
        <v>233.0</v>
      </c>
      <c r="F135" s="13">
        <v>0.0</v>
      </c>
      <c r="G135" s="13">
        <f t="shared" si="2"/>
        <v>233</v>
      </c>
      <c r="H135" s="13" t="s">
        <v>59</v>
      </c>
    </row>
    <row r="136" ht="15.75" customHeight="1">
      <c r="A136" s="14">
        <v>45707.0</v>
      </c>
      <c r="B136" s="8" t="str">
        <f t="shared" si="1"/>
        <v>Feb-25</v>
      </c>
      <c r="D136" s="12" t="s">
        <v>11</v>
      </c>
      <c r="E136" s="13">
        <v>420.0</v>
      </c>
      <c r="G136" s="13">
        <f t="shared" si="2"/>
        <v>420</v>
      </c>
      <c r="H136" s="13" t="s">
        <v>59</v>
      </c>
    </row>
    <row r="137" ht="15.75" customHeight="1">
      <c r="A137" s="14">
        <v>45707.0</v>
      </c>
      <c r="B137" s="8" t="str">
        <f t="shared" si="1"/>
        <v>Feb-25</v>
      </c>
      <c r="D137" s="12" t="s">
        <v>28</v>
      </c>
      <c r="E137" s="13">
        <v>211.0</v>
      </c>
      <c r="G137" s="13">
        <f t="shared" si="2"/>
        <v>211</v>
      </c>
      <c r="H137" s="13" t="s">
        <v>59</v>
      </c>
    </row>
    <row r="138" ht="15.75" customHeight="1">
      <c r="A138" s="14">
        <v>45715.0</v>
      </c>
      <c r="B138" s="8" t="str">
        <f t="shared" si="1"/>
        <v>Feb-25</v>
      </c>
      <c r="D138" s="12" t="s">
        <v>11</v>
      </c>
      <c r="E138" s="13">
        <v>591.0</v>
      </c>
      <c r="G138" s="13">
        <f t="shared" si="2"/>
        <v>591</v>
      </c>
      <c r="H138" s="13" t="s">
        <v>49</v>
      </c>
    </row>
    <row r="139" ht="15.75" customHeight="1">
      <c r="A139" s="14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138">
      <formula1>'Data Validation'!$C$3:$C$20</formula1>
    </dataValidation>
    <dataValidation type="list" allowBlank="1" showErrorMessage="1" sqref="D2:D138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71"/>
    <col customWidth="1" min="5" max="5" width="15.43"/>
    <col customWidth="1" min="6" max="6" width="14.71"/>
    <col customWidth="1" min="7" max="7" width="16.86"/>
    <col customWidth="1" min="8" max="8" width="14.71"/>
    <col customWidth="1" min="9" max="9" width="27.43"/>
    <col customWidth="1" min="10" max="26" width="14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123</v>
      </c>
      <c r="F1" s="1" t="s">
        <v>61</v>
      </c>
      <c r="G1" s="1" t="s">
        <v>124</v>
      </c>
      <c r="H1" s="1" t="s">
        <v>6</v>
      </c>
      <c r="I1" s="3" t="s">
        <v>63</v>
      </c>
    </row>
    <row r="2">
      <c r="A2" s="14">
        <v>45600.0</v>
      </c>
      <c r="B2" s="8" t="str">
        <f t="shared" ref="B2:B138" si="1">TEXT(A2,"mmm-yy")</f>
        <v>Nov-24</v>
      </c>
      <c r="D2" s="12" t="s">
        <v>14</v>
      </c>
      <c r="E2" s="13">
        <v>400.0</v>
      </c>
      <c r="F2" s="13">
        <v>20.0</v>
      </c>
      <c r="G2" s="8">
        <f t="shared" ref="G2:G138" si="2">SUM(E2:F2)</f>
        <v>420</v>
      </c>
      <c r="H2" s="13" t="s">
        <v>53</v>
      </c>
    </row>
    <row r="3">
      <c r="A3" s="14">
        <v>45602.0</v>
      </c>
      <c r="B3" s="8" t="str">
        <f t="shared" si="1"/>
        <v>Nov-24</v>
      </c>
      <c r="D3" s="12" t="s">
        <v>14</v>
      </c>
      <c r="E3" s="13">
        <v>532.0</v>
      </c>
      <c r="F3" s="13">
        <v>58.0</v>
      </c>
      <c r="G3" s="8">
        <f t="shared" si="2"/>
        <v>590</v>
      </c>
      <c r="H3" s="13" t="s">
        <v>22</v>
      </c>
    </row>
    <row r="4">
      <c r="A4" s="14">
        <v>45602.0</v>
      </c>
      <c r="B4" s="8" t="str">
        <f t="shared" si="1"/>
        <v>Nov-24</v>
      </c>
      <c r="D4" s="12" t="s">
        <v>15</v>
      </c>
      <c r="E4" s="13">
        <v>200.0</v>
      </c>
      <c r="F4" s="13">
        <v>35.0</v>
      </c>
      <c r="G4" s="8">
        <f t="shared" si="2"/>
        <v>235</v>
      </c>
      <c r="H4" s="13" t="s">
        <v>22</v>
      </c>
    </row>
    <row r="5">
      <c r="A5" s="14">
        <v>45602.0</v>
      </c>
      <c r="B5" s="8" t="str">
        <f t="shared" si="1"/>
        <v>Nov-24</v>
      </c>
      <c r="D5" s="12" t="s">
        <v>11</v>
      </c>
      <c r="E5" s="13">
        <v>68.0</v>
      </c>
      <c r="F5" s="13">
        <v>7.0</v>
      </c>
      <c r="G5" s="8">
        <f t="shared" si="2"/>
        <v>75</v>
      </c>
      <c r="H5" s="13" t="s">
        <v>22</v>
      </c>
    </row>
    <row r="6">
      <c r="A6" s="14">
        <v>45603.0</v>
      </c>
      <c r="B6" s="8" t="str">
        <f t="shared" si="1"/>
        <v>Nov-24</v>
      </c>
      <c r="D6" s="12" t="s">
        <v>14</v>
      </c>
      <c r="E6" s="13">
        <v>371.0</v>
      </c>
      <c r="F6" s="13">
        <v>65.0</v>
      </c>
      <c r="G6" s="8">
        <f t="shared" si="2"/>
        <v>436</v>
      </c>
      <c r="H6" s="13" t="s">
        <v>22</v>
      </c>
    </row>
    <row r="7">
      <c r="A7" s="14">
        <v>45603.0</v>
      </c>
      <c r="B7" s="8" t="str">
        <f t="shared" si="1"/>
        <v>Nov-24</v>
      </c>
      <c r="D7" s="12" t="s">
        <v>11</v>
      </c>
      <c r="E7" s="13">
        <v>235.0</v>
      </c>
      <c r="F7" s="13">
        <v>25.0</v>
      </c>
      <c r="G7" s="8">
        <f t="shared" si="2"/>
        <v>260</v>
      </c>
      <c r="H7" s="13" t="s">
        <v>22</v>
      </c>
    </row>
    <row r="8">
      <c r="A8" s="14">
        <v>45603.0</v>
      </c>
      <c r="B8" s="8" t="str">
        <f t="shared" si="1"/>
        <v>Nov-24</v>
      </c>
      <c r="D8" s="12" t="s">
        <v>15</v>
      </c>
      <c r="E8" s="13">
        <v>30.0</v>
      </c>
      <c r="F8" s="13">
        <v>35.0</v>
      </c>
      <c r="G8" s="8">
        <f t="shared" si="2"/>
        <v>65</v>
      </c>
      <c r="H8" s="13" t="s">
        <v>22</v>
      </c>
    </row>
    <row r="9">
      <c r="A9" s="14">
        <v>45607.0</v>
      </c>
      <c r="B9" s="8" t="str">
        <f t="shared" si="1"/>
        <v>Nov-24</v>
      </c>
      <c r="D9" s="12" t="s">
        <v>14</v>
      </c>
      <c r="E9" s="13">
        <v>364.0</v>
      </c>
      <c r="F9" s="13">
        <v>20.0</v>
      </c>
      <c r="G9" s="8">
        <f t="shared" si="2"/>
        <v>384</v>
      </c>
      <c r="H9" s="13" t="s">
        <v>53</v>
      </c>
    </row>
    <row r="10">
      <c r="A10" s="14">
        <v>45607.0</v>
      </c>
      <c r="B10" s="8" t="str">
        <f t="shared" si="1"/>
        <v>Nov-24</v>
      </c>
      <c r="D10" s="12" t="s">
        <v>11</v>
      </c>
      <c r="E10" s="13">
        <v>374.0</v>
      </c>
      <c r="F10" s="13">
        <v>21.0</v>
      </c>
      <c r="G10" s="8">
        <f t="shared" si="2"/>
        <v>395</v>
      </c>
      <c r="H10" s="13" t="s">
        <v>53</v>
      </c>
    </row>
    <row r="11">
      <c r="A11" s="14">
        <v>45607.0</v>
      </c>
      <c r="B11" s="8" t="str">
        <f t="shared" si="1"/>
        <v>Nov-24</v>
      </c>
      <c r="D11" s="12" t="s">
        <v>15</v>
      </c>
      <c r="E11" s="13">
        <v>254.0</v>
      </c>
      <c r="F11" s="13">
        <v>20.0</v>
      </c>
      <c r="G11" s="8">
        <f t="shared" si="2"/>
        <v>274</v>
      </c>
      <c r="H11" s="13" t="s">
        <v>53</v>
      </c>
    </row>
    <row r="12">
      <c r="A12" s="14">
        <v>45608.0</v>
      </c>
      <c r="B12" s="8" t="str">
        <f t="shared" si="1"/>
        <v>Nov-24</v>
      </c>
      <c r="D12" s="12" t="s">
        <v>31</v>
      </c>
      <c r="E12" s="13">
        <v>322.0</v>
      </c>
      <c r="F12" s="13">
        <v>39.0</v>
      </c>
      <c r="G12" s="8">
        <f t="shared" si="2"/>
        <v>361</v>
      </c>
      <c r="H12" s="13" t="s">
        <v>53</v>
      </c>
    </row>
    <row r="13">
      <c r="A13" s="14">
        <v>45608.0</v>
      </c>
      <c r="B13" s="8" t="str">
        <f t="shared" si="1"/>
        <v>Nov-24</v>
      </c>
      <c r="D13" s="12" t="s">
        <v>11</v>
      </c>
      <c r="E13" s="13">
        <v>100.0</v>
      </c>
      <c r="F13" s="13">
        <v>12.0</v>
      </c>
      <c r="G13" s="8">
        <f t="shared" si="2"/>
        <v>112</v>
      </c>
      <c r="H13" s="13" t="s">
        <v>53</v>
      </c>
    </row>
    <row r="14">
      <c r="A14" s="14">
        <v>45609.0</v>
      </c>
      <c r="B14" s="8" t="str">
        <f t="shared" si="1"/>
        <v>Nov-24</v>
      </c>
      <c r="D14" s="12" t="s">
        <v>11</v>
      </c>
      <c r="E14" s="13">
        <v>315.0</v>
      </c>
      <c r="F14" s="13">
        <v>20.0</v>
      </c>
      <c r="G14" s="8">
        <f t="shared" si="2"/>
        <v>335</v>
      </c>
      <c r="H14" s="13" t="s">
        <v>53</v>
      </c>
    </row>
    <row r="15">
      <c r="A15" s="14">
        <v>45609.0</v>
      </c>
      <c r="B15" s="8" t="str">
        <f t="shared" si="1"/>
        <v>Nov-24</v>
      </c>
      <c r="D15" s="12" t="s">
        <v>15</v>
      </c>
      <c r="E15" s="13">
        <v>54.0</v>
      </c>
      <c r="F15" s="13">
        <v>1.0</v>
      </c>
      <c r="G15" s="8">
        <f t="shared" si="2"/>
        <v>55</v>
      </c>
      <c r="H15" s="13" t="s">
        <v>53</v>
      </c>
    </row>
    <row r="16">
      <c r="A16" s="14">
        <v>45609.0</v>
      </c>
      <c r="B16" s="8" t="str">
        <f t="shared" si="1"/>
        <v>Nov-24</v>
      </c>
      <c r="D16" s="12" t="s">
        <v>31</v>
      </c>
      <c r="E16" s="13">
        <v>63.0</v>
      </c>
      <c r="F16" s="13">
        <v>13.0</v>
      </c>
      <c r="G16" s="8">
        <f t="shared" si="2"/>
        <v>76</v>
      </c>
      <c r="H16" s="13" t="s">
        <v>53</v>
      </c>
    </row>
    <row r="17">
      <c r="A17" s="14">
        <v>45609.0</v>
      </c>
      <c r="B17" s="8" t="str">
        <f t="shared" si="1"/>
        <v>Nov-24</v>
      </c>
      <c r="D17" s="12" t="s">
        <v>28</v>
      </c>
      <c r="E17" s="13">
        <v>140.0</v>
      </c>
      <c r="F17" s="13">
        <v>13.0</v>
      </c>
      <c r="G17" s="8">
        <f t="shared" si="2"/>
        <v>153</v>
      </c>
      <c r="H17" s="13" t="s">
        <v>53</v>
      </c>
    </row>
    <row r="18">
      <c r="A18" s="14">
        <v>45610.0</v>
      </c>
      <c r="B18" s="8" t="str">
        <f t="shared" si="1"/>
        <v>Nov-24</v>
      </c>
      <c r="D18" s="12" t="s">
        <v>28</v>
      </c>
      <c r="E18" s="13">
        <v>102.0</v>
      </c>
      <c r="F18" s="13">
        <v>12.0</v>
      </c>
      <c r="G18" s="8">
        <f t="shared" si="2"/>
        <v>114</v>
      </c>
      <c r="H18" s="13" t="s">
        <v>53</v>
      </c>
    </row>
    <row r="19">
      <c r="A19" s="14">
        <v>45610.0</v>
      </c>
      <c r="B19" s="8" t="str">
        <f t="shared" si="1"/>
        <v>Nov-24</v>
      </c>
      <c r="D19" s="12" t="s">
        <v>14</v>
      </c>
      <c r="E19" s="13">
        <v>123.0</v>
      </c>
      <c r="F19" s="13">
        <v>12.0</v>
      </c>
      <c r="G19" s="8">
        <f t="shared" si="2"/>
        <v>135</v>
      </c>
      <c r="H19" s="13" t="s">
        <v>53</v>
      </c>
    </row>
    <row r="20">
      <c r="A20" s="14">
        <v>45611.0</v>
      </c>
      <c r="B20" s="8" t="str">
        <f t="shared" si="1"/>
        <v>Nov-24</v>
      </c>
      <c r="D20" s="12" t="s">
        <v>17</v>
      </c>
      <c r="E20" s="13">
        <v>600.0</v>
      </c>
      <c r="F20" s="13">
        <v>9.0</v>
      </c>
      <c r="G20" s="8">
        <f t="shared" si="2"/>
        <v>609</v>
      </c>
      <c r="H20" s="13" t="s">
        <v>53</v>
      </c>
    </row>
    <row r="21" ht="15.75" customHeight="1">
      <c r="A21" s="14">
        <v>45612.0</v>
      </c>
      <c r="B21" s="8" t="str">
        <f t="shared" si="1"/>
        <v>Nov-24</v>
      </c>
      <c r="D21" s="12" t="s">
        <v>17</v>
      </c>
      <c r="E21" s="13">
        <v>352.0</v>
      </c>
      <c r="F21" s="13">
        <v>20.0</v>
      </c>
      <c r="G21" s="8">
        <f t="shared" si="2"/>
        <v>372</v>
      </c>
      <c r="H21" s="13" t="s">
        <v>53</v>
      </c>
    </row>
    <row r="22" ht="15.75" customHeight="1">
      <c r="A22" s="14">
        <v>45614.0</v>
      </c>
      <c r="B22" s="8" t="str">
        <f t="shared" si="1"/>
        <v>Nov-24</v>
      </c>
      <c r="D22" s="12" t="s">
        <v>17</v>
      </c>
      <c r="E22" s="13">
        <v>165.0</v>
      </c>
      <c r="F22" s="13">
        <v>11.0</v>
      </c>
      <c r="G22" s="8">
        <f t="shared" si="2"/>
        <v>176</v>
      </c>
      <c r="H22" s="13" t="s">
        <v>53</v>
      </c>
    </row>
    <row r="23" ht="15.75" customHeight="1">
      <c r="A23" s="14">
        <v>45615.0</v>
      </c>
      <c r="B23" s="8" t="str">
        <f t="shared" si="1"/>
        <v>Nov-24</v>
      </c>
      <c r="D23" s="12" t="s">
        <v>17</v>
      </c>
      <c r="E23" s="13">
        <v>193.0</v>
      </c>
      <c r="G23" s="8">
        <f t="shared" si="2"/>
        <v>193</v>
      </c>
      <c r="H23" s="13" t="s">
        <v>53</v>
      </c>
    </row>
    <row r="24" ht="15.75" customHeight="1">
      <c r="A24" s="14">
        <v>45615.0</v>
      </c>
      <c r="B24" s="8" t="str">
        <f t="shared" si="1"/>
        <v>Nov-24</v>
      </c>
      <c r="D24" s="12" t="s">
        <v>17</v>
      </c>
      <c r="E24" s="13">
        <v>315.0</v>
      </c>
      <c r="G24" s="8">
        <f t="shared" si="2"/>
        <v>315</v>
      </c>
      <c r="H24" s="13" t="s">
        <v>53</v>
      </c>
    </row>
    <row r="25" ht="15.75" customHeight="1">
      <c r="A25" s="14">
        <v>45619.0</v>
      </c>
      <c r="B25" s="8" t="str">
        <f t="shared" si="1"/>
        <v>Nov-24</v>
      </c>
      <c r="D25" s="12" t="s">
        <v>28</v>
      </c>
      <c r="E25" s="13">
        <v>36.0</v>
      </c>
      <c r="G25" s="8">
        <f t="shared" si="2"/>
        <v>36</v>
      </c>
      <c r="H25" s="13" t="s">
        <v>53</v>
      </c>
    </row>
    <row r="26" ht="15.75" customHeight="1">
      <c r="A26" s="14">
        <v>45619.0</v>
      </c>
      <c r="B26" s="8" t="str">
        <f t="shared" si="1"/>
        <v>Nov-24</v>
      </c>
      <c r="D26" s="12" t="s">
        <v>14</v>
      </c>
      <c r="E26" s="13">
        <v>314.0</v>
      </c>
      <c r="F26" s="13">
        <v>8.0</v>
      </c>
      <c r="G26" s="8">
        <f t="shared" si="2"/>
        <v>322</v>
      </c>
      <c r="H26" s="13" t="s">
        <v>53</v>
      </c>
    </row>
    <row r="27" ht="15.75" customHeight="1">
      <c r="A27" s="14">
        <v>45619.0</v>
      </c>
      <c r="B27" s="8" t="str">
        <f t="shared" si="1"/>
        <v>Nov-24</v>
      </c>
      <c r="D27" s="12" t="s">
        <v>11</v>
      </c>
      <c r="E27" s="13">
        <v>182.0</v>
      </c>
      <c r="F27" s="13">
        <v>10.0</v>
      </c>
      <c r="G27" s="8">
        <f t="shared" si="2"/>
        <v>192</v>
      </c>
      <c r="H27" s="13" t="s">
        <v>53</v>
      </c>
    </row>
    <row r="28" ht="15.75" customHeight="1">
      <c r="A28" s="14">
        <v>45622.0</v>
      </c>
      <c r="B28" s="8" t="str">
        <f t="shared" si="1"/>
        <v>Nov-24</v>
      </c>
      <c r="D28" s="12"/>
      <c r="G28" s="8">
        <f t="shared" si="2"/>
        <v>0</v>
      </c>
      <c r="H28" s="13" t="s">
        <v>53</v>
      </c>
      <c r="I28" s="13" t="s">
        <v>126</v>
      </c>
    </row>
    <row r="29" ht="15.75" customHeight="1">
      <c r="A29" s="14">
        <v>45622.0</v>
      </c>
      <c r="B29" s="8" t="str">
        <f t="shared" si="1"/>
        <v>Nov-24</v>
      </c>
      <c r="D29" s="12" t="s">
        <v>14</v>
      </c>
      <c r="E29" s="13">
        <v>30.0</v>
      </c>
      <c r="F29" s="13">
        <v>3.0</v>
      </c>
      <c r="G29" s="8">
        <f t="shared" si="2"/>
        <v>33</v>
      </c>
      <c r="H29" s="13" t="s">
        <v>53</v>
      </c>
    </row>
    <row r="30" ht="15.75" customHeight="1">
      <c r="A30" s="14">
        <v>45623.0</v>
      </c>
      <c r="B30" s="8" t="str">
        <f t="shared" si="1"/>
        <v>Nov-24</v>
      </c>
      <c r="D30" s="12" t="s">
        <v>14</v>
      </c>
      <c r="E30" s="13">
        <v>499.0</v>
      </c>
      <c r="F30" s="13">
        <v>49.0</v>
      </c>
      <c r="G30" s="8">
        <f t="shared" si="2"/>
        <v>548</v>
      </c>
      <c r="H30" s="13" t="s">
        <v>53</v>
      </c>
    </row>
    <row r="31" ht="15.75" customHeight="1">
      <c r="A31" s="14">
        <v>45623.0</v>
      </c>
      <c r="B31" s="8" t="str">
        <f t="shared" si="1"/>
        <v>Nov-24</v>
      </c>
      <c r="D31" s="12" t="s">
        <v>11</v>
      </c>
      <c r="E31" s="13">
        <v>130.0</v>
      </c>
      <c r="F31" s="13">
        <v>10.0</v>
      </c>
      <c r="G31" s="8">
        <f t="shared" si="2"/>
        <v>140</v>
      </c>
      <c r="H31" s="13" t="s">
        <v>53</v>
      </c>
    </row>
    <row r="32" ht="15.75" customHeight="1">
      <c r="A32" s="14">
        <v>45623.0</v>
      </c>
      <c r="B32" s="8" t="str">
        <f t="shared" si="1"/>
        <v>Nov-24</v>
      </c>
      <c r="C32" s="13">
        <v>72.0</v>
      </c>
      <c r="D32" s="12" t="s">
        <v>11</v>
      </c>
      <c r="E32" s="13">
        <v>56.0</v>
      </c>
      <c r="G32" s="8">
        <f t="shared" si="2"/>
        <v>56</v>
      </c>
      <c r="H32" s="13" t="s">
        <v>53</v>
      </c>
    </row>
    <row r="33" ht="15.75" customHeight="1">
      <c r="A33" s="14">
        <v>45624.0</v>
      </c>
      <c r="B33" s="8" t="str">
        <f t="shared" si="1"/>
        <v>Nov-24</v>
      </c>
      <c r="D33" s="12" t="s">
        <v>17</v>
      </c>
      <c r="E33" s="13">
        <v>400.0</v>
      </c>
      <c r="F33" s="13">
        <v>5.0</v>
      </c>
      <c r="G33" s="8">
        <f t="shared" si="2"/>
        <v>405</v>
      </c>
      <c r="H33" s="13" t="s">
        <v>53</v>
      </c>
    </row>
    <row r="34" ht="15.75" customHeight="1">
      <c r="A34" s="14">
        <v>45624.0</v>
      </c>
      <c r="B34" s="8" t="str">
        <f t="shared" si="1"/>
        <v>Nov-24</v>
      </c>
      <c r="C34" s="13">
        <v>72.0</v>
      </c>
      <c r="D34" s="12" t="s">
        <v>17</v>
      </c>
      <c r="E34" s="13">
        <v>87.0</v>
      </c>
      <c r="F34" s="13">
        <v>9.0</v>
      </c>
      <c r="G34" s="8">
        <f t="shared" si="2"/>
        <v>96</v>
      </c>
      <c r="H34" s="13" t="s">
        <v>53</v>
      </c>
    </row>
    <row r="35" ht="15.75" customHeight="1">
      <c r="A35" s="14">
        <v>45624.0</v>
      </c>
      <c r="B35" s="8" t="str">
        <f t="shared" si="1"/>
        <v>Nov-24</v>
      </c>
      <c r="C35" s="13">
        <v>72.0</v>
      </c>
      <c r="D35" s="12" t="s">
        <v>14</v>
      </c>
      <c r="E35" s="13">
        <v>53.0</v>
      </c>
      <c r="F35" s="13">
        <v>9.0</v>
      </c>
      <c r="G35" s="8">
        <f t="shared" si="2"/>
        <v>62</v>
      </c>
      <c r="H35" s="13" t="s">
        <v>53</v>
      </c>
    </row>
    <row r="36" ht="15.75" customHeight="1">
      <c r="A36" s="14">
        <v>45628.0</v>
      </c>
      <c r="B36" s="8" t="str">
        <f t="shared" si="1"/>
        <v>Dec-24</v>
      </c>
      <c r="D36" s="12" t="s">
        <v>14</v>
      </c>
      <c r="E36" s="13">
        <v>200.0</v>
      </c>
      <c r="F36" s="13">
        <v>9.0</v>
      </c>
      <c r="G36" s="8">
        <f t="shared" si="2"/>
        <v>209</v>
      </c>
      <c r="H36" s="13" t="s">
        <v>22</v>
      </c>
    </row>
    <row r="37" ht="15.75" customHeight="1">
      <c r="A37" s="14">
        <v>45628.0</v>
      </c>
      <c r="B37" s="8" t="str">
        <f t="shared" si="1"/>
        <v>Dec-24</v>
      </c>
      <c r="D37" s="12" t="s">
        <v>11</v>
      </c>
      <c r="E37" s="13">
        <v>390.0</v>
      </c>
      <c r="F37" s="13">
        <v>10.0</v>
      </c>
      <c r="G37" s="8">
        <f t="shared" si="2"/>
        <v>400</v>
      </c>
      <c r="H37" s="13" t="s">
        <v>53</v>
      </c>
    </row>
    <row r="38" ht="15.75" customHeight="1">
      <c r="A38" s="14">
        <v>45630.0</v>
      </c>
      <c r="B38" s="8" t="str">
        <f t="shared" si="1"/>
        <v>Dec-24</v>
      </c>
      <c r="D38" s="12" t="s">
        <v>17</v>
      </c>
      <c r="E38" s="13">
        <v>140.0</v>
      </c>
      <c r="F38" s="13">
        <v>3.0</v>
      </c>
      <c r="G38" s="8">
        <f t="shared" si="2"/>
        <v>143</v>
      </c>
      <c r="H38" s="13" t="s">
        <v>53</v>
      </c>
    </row>
    <row r="39" ht="15.75" customHeight="1">
      <c r="A39" s="14">
        <v>45630.0</v>
      </c>
      <c r="B39" s="8" t="str">
        <f t="shared" si="1"/>
        <v>Dec-24</v>
      </c>
      <c r="D39" s="12" t="s">
        <v>14</v>
      </c>
      <c r="E39" s="13">
        <v>295.0</v>
      </c>
      <c r="F39" s="13">
        <v>69.0</v>
      </c>
      <c r="G39" s="8">
        <f t="shared" si="2"/>
        <v>364</v>
      </c>
      <c r="H39" s="13" t="s">
        <v>53</v>
      </c>
    </row>
    <row r="40" ht="15.75" customHeight="1">
      <c r="A40" s="14">
        <v>45630.0</v>
      </c>
      <c r="B40" s="8" t="str">
        <f t="shared" si="1"/>
        <v>Dec-24</v>
      </c>
      <c r="C40" s="13">
        <v>73.0</v>
      </c>
      <c r="D40" s="12" t="s">
        <v>14</v>
      </c>
      <c r="E40" s="13">
        <v>98.0</v>
      </c>
      <c r="G40" s="8">
        <f t="shared" si="2"/>
        <v>98</v>
      </c>
      <c r="H40" s="13" t="s">
        <v>53</v>
      </c>
    </row>
    <row r="41" ht="15.75" customHeight="1">
      <c r="A41" s="14">
        <v>45631.0</v>
      </c>
      <c r="B41" s="8" t="str">
        <f t="shared" si="1"/>
        <v>Dec-24</v>
      </c>
      <c r="C41" s="13">
        <v>73.0</v>
      </c>
      <c r="D41" s="12" t="s">
        <v>14</v>
      </c>
      <c r="E41" s="13">
        <v>225.0</v>
      </c>
      <c r="F41" s="13">
        <v>4.0</v>
      </c>
      <c r="G41" s="8">
        <f t="shared" si="2"/>
        <v>229</v>
      </c>
      <c r="H41" s="13" t="s">
        <v>37</v>
      </c>
    </row>
    <row r="42" ht="15.75" customHeight="1">
      <c r="A42" s="14">
        <v>45631.0</v>
      </c>
      <c r="B42" s="8" t="str">
        <f t="shared" si="1"/>
        <v>Dec-24</v>
      </c>
      <c r="C42" s="13">
        <v>73.0</v>
      </c>
      <c r="D42" s="12" t="s">
        <v>14</v>
      </c>
      <c r="E42" s="13">
        <v>283.0</v>
      </c>
      <c r="F42" s="13">
        <v>3.0</v>
      </c>
      <c r="G42" s="8">
        <f t="shared" si="2"/>
        <v>286</v>
      </c>
      <c r="H42" s="13" t="s">
        <v>37</v>
      </c>
    </row>
    <row r="43" ht="15.75" customHeight="1">
      <c r="A43" s="14">
        <v>45631.0</v>
      </c>
      <c r="B43" s="8" t="str">
        <f t="shared" si="1"/>
        <v>Dec-24</v>
      </c>
      <c r="C43" s="13">
        <v>73.0</v>
      </c>
      <c r="D43" s="12" t="s">
        <v>14</v>
      </c>
      <c r="E43" s="13">
        <v>105.0</v>
      </c>
      <c r="F43" s="13">
        <v>2.0</v>
      </c>
      <c r="G43" s="8">
        <f t="shared" si="2"/>
        <v>107</v>
      </c>
      <c r="H43" s="13" t="s">
        <v>37</v>
      </c>
    </row>
    <row r="44" ht="15.75" customHeight="1">
      <c r="A44" s="14">
        <v>45631.0</v>
      </c>
      <c r="B44" s="8" t="str">
        <f t="shared" si="1"/>
        <v>Dec-24</v>
      </c>
      <c r="D44" s="12" t="s">
        <v>11</v>
      </c>
      <c r="E44" s="13">
        <v>173.0</v>
      </c>
      <c r="F44" s="13">
        <v>15.0</v>
      </c>
      <c r="G44" s="8">
        <f t="shared" si="2"/>
        <v>188</v>
      </c>
      <c r="H44" s="13" t="s">
        <v>53</v>
      </c>
    </row>
    <row r="45" ht="15.75" customHeight="1">
      <c r="A45" s="14">
        <v>45631.0</v>
      </c>
      <c r="B45" s="8" t="str">
        <f t="shared" si="1"/>
        <v>Dec-24</v>
      </c>
      <c r="D45" s="12" t="s">
        <v>17</v>
      </c>
      <c r="E45" s="13">
        <v>81.0</v>
      </c>
      <c r="F45" s="13">
        <v>3.0</v>
      </c>
      <c r="G45" s="8">
        <f t="shared" si="2"/>
        <v>84</v>
      </c>
      <c r="H45" s="13" t="s">
        <v>53</v>
      </c>
    </row>
    <row r="46" ht="15.75" customHeight="1">
      <c r="A46" s="14">
        <v>45632.0</v>
      </c>
      <c r="B46" s="8" t="str">
        <f t="shared" si="1"/>
        <v>Dec-24</v>
      </c>
      <c r="C46" s="13">
        <v>73.0</v>
      </c>
      <c r="D46" s="12" t="s">
        <v>17</v>
      </c>
      <c r="E46" s="13">
        <v>600.0</v>
      </c>
      <c r="F46" s="13">
        <v>10.0</v>
      </c>
      <c r="G46" s="8">
        <f t="shared" si="2"/>
        <v>610</v>
      </c>
      <c r="H46" s="13" t="s">
        <v>37</v>
      </c>
    </row>
    <row r="47" ht="15.75" customHeight="1">
      <c r="A47" s="14">
        <v>45632.0</v>
      </c>
      <c r="B47" s="8" t="str">
        <f t="shared" si="1"/>
        <v>Dec-24</v>
      </c>
      <c r="C47" s="13">
        <v>73.0</v>
      </c>
      <c r="D47" s="12" t="s">
        <v>15</v>
      </c>
      <c r="E47" s="13">
        <v>85.0</v>
      </c>
      <c r="G47" s="8">
        <f t="shared" si="2"/>
        <v>85</v>
      </c>
      <c r="H47" s="13" t="s">
        <v>37</v>
      </c>
    </row>
    <row r="48" ht="15.75" customHeight="1">
      <c r="A48" s="14">
        <v>45632.0</v>
      </c>
      <c r="B48" s="8" t="str">
        <f t="shared" si="1"/>
        <v>Dec-24</v>
      </c>
      <c r="C48" s="13">
        <v>73.0</v>
      </c>
      <c r="D48" s="12" t="s">
        <v>24</v>
      </c>
      <c r="E48" s="13">
        <v>71.0</v>
      </c>
      <c r="F48" s="13">
        <v>3.0</v>
      </c>
      <c r="G48" s="8">
        <f t="shared" si="2"/>
        <v>74</v>
      </c>
      <c r="H48" s="13" t="s">
        <v>37</v>
      </c>
    </row>
    <row r="49" ht="15.75" customHeight="1">
      <c r="A49" s="14">
        <v>45633.0</v>
      </c>
      <c r="B49" s="8" t="str">
        <f t="shared" si="1"/>
        <v>Dec-24</v>
      </c>
      <c r="D49" s="12" t="s">
        <v>14</v>
      </c>
      <c r="E49" s="13">
        <v>160.0</v>
      </c>
      <c r="F49" s="13">
        <v>18.0</v>
      </c>
      <c r="G49" s="8">
        <f t="shared" si="2"/>
        <v>178</v>
      </c>
      <c r="H49" s="13" t="s">
        <v>37</v>
      </c>
    </row>
    <row r="50" ht="15.75" customHeight="1">
      <c r="A50" s="14">
        <v>45633.0</v>
      </c>
      <c r="B50" s="8" t="str">
        <f t="shared" si="1"/>
        <v>Dec-24</v>
      </c>
      <c r="D50" s="12" t="s">
        <v>31</v>
      </c>
      <c r="E50" s="13">
        <v>252.0</v>
      </c>
      <c r="F50" s="13">
        <v>9.0</v>
      </c>
      <c r="G50" s="8">
        <f t="shared" si="2"/>
        <v>261</v>
      </c>
      <c r="H50" s="13" t="s">
        <v>53</v>
      </c>
    </row>
    <row r="51" ht="15.75" customHeight="1">
      <c r="A51" s="14">
        <v>45637.0</v>
      </c>
      <c r="B51" s="8" t="str">
        <f t="shared" si="1"/>
        <v>Dec-24</v>
      </c>
      <c r="D51" s="12" t="s">
        <v>14</v>
      </c>
      <c r="E51" s="13">
        <v>631.0</v>
      </c>
      <c r="F51" s="13">
        <v>41.0</v>
      </c>
      <c r="G51" s="8">
        <f t="shared" si="2"/>
        <v>672</v>
      </c>
      <c r="H51" s="13" t="s">
        <v>53</v>
      </c>
    </row>
    <row r="52" ht="15.75" customHeight="1">
      <c r="A52" s="14">
        <v>45637.0</v>
      </c>
      <c r="B52" s="8" t="str">
        <f t="shared" si="1"/>
        <v>Dec-24</v>
      </c>
      <c r="D52" s="12" t="s">
        <v>31</v>
      </c>
      <c r="E52" s="13">
        <v>14.0</v>
      </c>
      <c r="G52" s="8">
        <f t="shared" si="2"/>
        <v>14</v>
      </c>
      <c r="H52" s="13" t="s">
        <v>53</v>
      </c>
    </row>
    <row r="53" ht="15.75" customHeight="1">
      <c r="A53" s="14">
        <v>45639.0</v>
      </c>
      <c r="B53" s="8" t="str">
        <f t="shared" si="1"/>
        <v>Dec-24</v>
      </c>
      <c r="D53" s="12" t="s">
        <v>11</v>
      </c>
      <c r="E53" s="13">
        <v>265.0</v>
      </c>
      <c r="F53" s="13">
        <v>6.0</v>
      </c>
      <c r="G53" s="8">
        <f t="shared" si="2"/>
        <v>271</v>
      </c>
      <c r="H53" s="13" t="s">
        <v>22</v>
      </c>
    </row>
    <row r="54" ht="15.75" customHeight="1">
      <c r="A54" s="14">
        <v>45639.0</v>
      </c>
      <c r="B54" s="8" t="str">
        <f t="shared" si="1"/>
        <v>Dec-24</v>
      </c>
      <c r="D54" s="12" t="s">
        <v>14</v>
      </c>
      <c r="E54" s="13">
        <v>661.0</v>
      </c>
      <c r="F54" s="13">
        <v>15.0</v>
      </c>
      <c r="G54" s="8">
        <f t="shared" si="2"/>
        <v>676</v>
      </c>
      <c r="H54" s="13" t="s">
        <v>22</v>
      </c>
    </row>
    <row r="55" ht="15.75" customHeight="1">
      <c r="A55" s="14">
        <v>45642.0</v>
      </c>
      <c r="B55" s="8" t="str">
        <f t="shared" si="1"/>
        <v>Dec-24</v>
      </c>
      <c r="D55" s="12" t="s">
        <v>14</v>
      </c>
      <c r="E55" s="13">
        <v>108.0</v>
      </c>
      <c r="F55" s="13">
        <v>5.0</v>
      </c>
      <c r="G55" s="8">
        <f t="shared" si="2"/>
        <v>113</v>
      </c>
      <c r="H55" s="13" t="s">
        <v>53</v>
      </c>
    </row>
    <row r="56" ht="15.75" customHeight="1">
      <c r="A56" s="14">
        <v>45642.0</v>
      </c>
      <c r="B56" s="8" t="str">
        <f t="shared" si="1"/>
        <v>Dec-24</v>
      </c>
      <c r="D56" s="12" t="s">
        <v>11</v>
      </c>
      <c r="E56" s="13">
        <v>85.0</v>
      </c>
      <c r="F56" s="13">
        <v>4.0</v>
      </c>
      <c r="G56" s="8">
        <f t="shared" si="2"/>
        <v>89</v>
      </c>
      <c r="H56" s="13" t="s">
        <v>53</v>
      </c>
    </row>
    <row r="57" ht="15.75" customHeight="1">
      <c r="A57" s="14">
        <v>45643.0</v>
      </c>
      <c r="B57" s="8" t="str">
        <f t="shared" si="1"/>
        <v>Dec-24</v>
      </c>
      <c r="D57" s="12" t="s">
        <v>14</v>
      </c>
      <c r="E57" s="13">
        <v>288.0</v>
      </c>
      <c r="F57" s="13">
        <v>7.0</v>
      </c>
      <c r="G57" s="8">
        <f t="shared" si="2"/>
        <v>295</v>
      </c>
      <c r="H57" s="13" t="s">
        <v>53</v>
      </c>
    </row>
    <row r="58" ht="15.75" customHeight="1">
      <c r="A58" s="14">
        <v>45643.0</v>
      </c>
      <c r="B58" s="8" t="str">
        <f t="shared" si="1"/>
        <v>Dec-24</v>
      </c>
      <c r="D58" s="12" t="s">
        <v>17</v>
      </c>
      <c r="E58" s="13">
        <v>130.0</v>
      </c>
      <c r="F58" s="13">
        <v>40.0</v>
      </c>
      <c r="G58" s="8">
        <f t="shared" si="2"/>
        <v>170</v>
      </c>
      <c r="H58" s="13" t="s">
        <v>53</v>
      </c>
    </row>
    <row r="59" ht="15.75" customHeight="1">
      <c r="A59" s="14">
        <v>45647.0</v>
      </c>
      <c r="B59" s="8" t="str">
        <f t="shared" si="1"/>
        <v>Dec-24</v>
      </c>
      <c r="D59" s="12" t="s">
        <v>17</v>
      </c>
      <c r="E59" s="13">
        <v>700.0</v>
      </c>
      <c r="F59" s="13">
        <v>13.0</v>
      </c>
      <c r="G59" s="8">
        <f t="shared" si="2"/>
        <v>713</v>
      </c>
      <c r="H59" s="13" t="s">
        <v>53</v>
      </c>
    </row>
    <row r="60" ht="15.75" customHeight="1">
      <c r="A60" s="14">
        <v>45647.0</v>
      </c>
      <c r="B60" s="8" t="str">
        <f t="shared" si="1"/>
        <v>Dec-24</v>
      </c>
      <c r="D60" s="12" t="s">
        <v>14</v>
      </c>
      <c r="E60" s="13">
        <v>70.0</v>
      </c>
      <c r="F60" s="13">
        <v>3.0</v>
      </c>
      <c r="G60" s="8">
        <f t="shared" si="2"/>
        <v>73</v>
      </c>
      <c r="H60" s="13" t="s">
        <v>53</v>
      </c>
    </row>
    <row r="61" ht="15.75" customHeight="1">
      <c r="A61" s="14">
        <v>45649.0</v>
      </c>
      <c r="B61" s="8" t="str">
        <f t="shared" si="1"/>
        <v>Dec-24</v>
      </c>
      <c r="C61" s="13">
        <v>74.0</v>
      </c>
      <c r="D61" s="12" t="s">
        <v>17</v>
      </c>
      <c r="E61" s="13">
        <v>730.0</v>
      </c>
      <c r="F61" s="13">
        <v>25.0</v>
      </c>
      <c r="G61" s="8">
        <f t="shared" si="2"/>
        <v>755</v>
      </c>
      <c r="H61" s="13" t="s">
        <v>37</v>
      </c>
    </row>
    <row r="62" ht="15.75" customHeight="1">
      <c r="A62" s="14">
        <v>45652.0</v>
      </c>
      <c r="B62" s="8" t="str">
        <f t="shared" si="1"/>
        <v>Dec-24</v>
      </c>
      <c r="D62" s="12" t="s">
        <v>11</v>
      </c>
      <c r="E62" s="13">
        <v>230.0</v>
      </c>
      <c r="F62" s="13">
        <v>10.0</v>
      </c>
      <c r="G62" s="8">
        <f t="shared" si="2"/>
        <v>240</v>
      </c>
      <c r="H62" s="13" t="s">
        <v>37</v>
      </c>
    </row>
    <row r="63" ht="15.75" customHeight="1">
      <c r="A63" s="14">
        <v>45652.0</v>
      </c>
      <c r="B63" s="8" t="str">
        <f t="shared" si="1"/>
        <v>Dec-24</v>
      </c>
      <c r="D63" s="12" t="s">
        <v>31</v>
      </c>
      <c r="E63" s="13">
        <v>102.0</v>
      </c>
      <c r="G63" s="8">
        <f t="shared" si="2"/>
        <v>102</v>
      </c>
      <c r="H63" s="13" t="s">
        <v>37</v>
      </c>
    </row>
    <row r="64" ht="15.75" customHeight="1">
      <c r="A64" s="14">
        <v>45652.0</v>
      </c>
      <c r="B64" s="8" t="str">
        <f t="shared" si="1"/>
        <v>Dec-24</v>
      </c>
      <c r="D64" s="12" t="s">
        <v>15</v>
      </c>
      <c r="E64" s="13">
        <v>54.0</v>
      </c>
      <c r="G64" s="8">
        <f t="shared" si="2"/>
        <v>54</v>
      </c>
      <c r="H64" s="13" t="s">
        <v>37</v>
      </c>
    </row>
    <row r="65" ht="15.75" customHeight="1">
      <c r="A65" s="14">
        <v>45652.0</v>
      </c>
      <c r="B65" s="8" t="str">
        <f t="shared" si="1"/>
        <v>Dec-24</v>
      </c>
      <c r="D65" s="12" t="s">
        <v>24</v>
      </c>
      <c r="E65" s="13">
        <v>52.0</v>
      </c>
      <c r="G65" s="8">
        <f t="shared" si="2"/>
        <v>52</v>
      </c>
      <c r="H65" s="13" t="s">
        <v>37</v>
      </c>
    </row>
    <row r="66" ht="15.75" customHeight="1">
      <c r="A66" s="14">
        <v>45654.0</v>
      </c>
      <c r="B66" s="8" t="str">
        <f t="shared" si="1"/>
        <v>Dec-24</v>
      </c>
      <c r="D66" s="12" t="s">
        <v>31</v>
      </c>
      <c r="E66" s="13">
        <v>306.0</v>
      </c>
      <c r="F66" s="13">
        <v>10.0</v>
      </c>
      <c r="G66" s="8">
        <f t="shared" si="2"/>
        <v>316</v>
      </c>
      <c r="H66" s="13" t="s">
        <v>53</v>
      </c>
    </row>
    <row r="67" ht="15.75" customHeight="1">
      <c r="A67" s="14">
        <v>45654.0</v>
      </c>
      <c r="B67" s="8" t="str">
        <f t="shared" si="1"/>
        <v>Dec-24</v>
      </c>
      <c r="D67" s="12" t="s">
        <v>15</v>
      </c>
      <c r="E67" s="13">
        <v>44.0</v>
      </c>
      <c r="G67" s="8">
        <f t="shared" si="2"/>
        <v>44</v>
      </c>
      <c r="H67" s="13" t="s">
        <v>53</v>
      </c>
    </row>
    <row r="68" ht="15.75" customHeight="1">
      <c r="A68" s="14">
        <v>45656.0</v>
      </c>
      <c r="B68" s="8" t="str">
        <f t="shared" si="1"/>
        <v>Dec-24</v>
      </c>
      <c r="D68" s="12" t="s">
        <v>14</v>
      </c>
      <c r="E68" s="13">
        <v>300.0</v>
      </c>
      <c r="F68" s="13">
        <v>35.0</v>
      </c>
      <c r="G68" s="8">
        <f t="shared" si="2"/>
        <v>335</v>
      </c>
      <c r="H68" s="13" t="s">
        <v>53</v>
      </c>
    </row>
    <row r="69" ht="15.75" customHeight="1">
      <c r="A69" s="14">
        <v>45657.0</v>
      </c>
      <c r="B69" s="8" t="str">
        <f t="shared" si="1"/>
        <v>Dec-24</v>
      </c>
      <c r="D69" s="12" t="s">
        <v>11</v>
      </c>
      <c r="E69" s="13">
        <v>780.0</v>
      </c>
      <c r="F69" s="13">
        <v>8.0</v>
      </c>
      <c r="G69" s="8">
        <f t="shared" si="2"/>
        <v>788</v>
      </c>
      <c r="H69" s="13" t="s">
        <v>53</v>
      </c>
    </row>
    <row r="70" ht="15.75" customHeight="1">
      <c r="A70" s="14">
        <v>45657.0</v>
      </c>
      <c r="B70" s="8" t="str">
        <f t="shared" si="1"/>
        <v>Dec-24</v>
      </c>
      <c r="D70" s="12" t="s">
        <v>17</v>
      </c>
      <c r="E70" s="13">
        <v>154.0</v>
      </c>
      <c r="G70" s="8">
        <f t="shared" si="2"/>
        <v>154</v>
      </c>
      <c r="H70" s="13" t="s">
        <v>53</v>
      </c>
    </row>
    <row r="71" ht="15.75" customHeight="1">
      <c r="A71" s="14">
        <v>45660.0</v>
      </c>
      <c r="B71" s="8" t="str">
        <f t="shared" si="1"/>
        <v>Jan-25</v>
      </c>
      <c r="D71" s="12" t="s">
        <v>11</v>
      </c>
      <c r="E71" s="13">
        <v>85.0</v>
      </c>
      <c r="G71" s="8">
        <f t="shared" si="2"/>
        <v>85</v>
      </c>
      <c r="H71" s="13" t="s">
        <v>53</v>
      </c>
    </row>
    <row r="72" ht="15.75" customHeight="1">
      <c r="A72" s="14">
        <v>45660.0</v>
      </c>
      <c r="B72" s="8" t="str">
        <f t="shared" si="1"/>
        <v>Jan-25</v>
      </c>
      <c r="D72" s="12" t="s">
        <v>17</v>
      </c>
      <c r="E72" s="13">
        <v>300.0</v>
      </c>
      <c r="F72" s="13">
        <v>3.0</v>
      </c>
      <c r="G72" s="8">
        <f t="shared" si="2"/>
        <v>303</v>
      </c>
      <c r="H72" s="13" t="s">
        <v>53</v>
      </c>
    </row>
    <row r="73" ht="15.75" customHeight="1">
      <c r="A73" s="14">
        <v>45661.0</v>
      </c>
      <c r="B73" s="8" t="str">
        <f t="shared" si="1"/>
        <v>Jan-25</v>
      </c>
      <c r="D73" s="12" t="s">
        <v>17</v>
      </c>
      <c r="E73" s="13">
        <v>295.0</v>
      </c>
      <c r="F73" s="13">
        <v>4.0</v>
      </c>
      <c r="G73" s="8">
        <f t="shared" si="2"/>
        <v>299</v>
      </c>
      <c r="H73" s="13" t="s">
        <v>53</v>
      </c>
    </row>
    <row r="74" ht="15.75" customHeight="1">
      <c r="A74" s="14">
        <v>45661.0</v>
      </c>
      <c r="B74" s="8" t="str">
        <f t="shared" si="1"/>
        <v>Jan-25</v>
      </c>
      <c r="D74" s="12" t="s">
        <v>14</v>
      </c>
      <c r="E74" s="13">
        <v>175.0</v>
      </c>
      <c r="F74" s="13">
        <v>6.0</v>
      </c>
      <c r="G74" s="8">
        <f t="shared" si="2"/>
        <v>181</v>
      </c>
      <c r="H74" s="13" t="s">
        <v>53</v>
      </c>
    </row>
    <row r="75" ht="15.75" customHeight="1">
      <c r="A75" s="14">
        <v>45661.0</v>
      </c>
      <c r="B75" s="8" t="str">
        <f t="shared" si="1"/>
        <v>Jan-25</v>
      </c>
      <c r="D75" s="12" t="s">
        <v>31</v>
      </c>
      <c r="E75" s="13">
        <v>166.0</v>
      </c>
      <c r="G75" s="8">
        <f t="shared" si="2"/>
        <v>166</v>
      </c>
      <c r="H75" s="13" t="s">
        <v>53</v>
      </c>
    </row>
    <row r="76" ht="15.75" customHeight="1">
      <c r="A76" s="14">
        <v>45661.0</v>
      </c>
      <c r="B76" s="8" t="str">
        <f t="shared" si="1"/>
        <v>Jan-25</v>
      </c>
      <c r="C76" s="13" t="s">
        <v>40</v>
      </c>
      <c r="D76" s="12" t="s">
        <v>14</v>
      </c>
      <c r="E76" s="13">
        <v>530.0</v>
      </c>
      <c r="G76" s="8">
        <f t="shared" si="2"/>
        <v>530</v>
      </c>
      <c r="H76" s="13" t="s">
        <v>37</v>
      </c>
    </row>
    <row r="77" ht="15.75" customHeight="1">
      <c r="A77" s="14">
        <v>45661.0</v>
      </c>
      <c r="B77" s="8" t="str">
        <f t="shared" si="1"/>
        <v>Jan-25</v>
      </c>
      <c r="C77" s="13" t="s">
        <v>40</v>
      </c>
      <c r="D77" s="12" t="s">
        <v>14</v>
      </c>
      <c r="E77" s="13">
        <v>160.0</v>
      </c>
      <c r="G77" s="8">
        <f t="shared" si="2"/>
        <v>160</v>
      </c>
      <c r="H77" s="13" t="s">
        <v>37</v>
      </c>
    </row>
    <row r="78" ht="15.75" customHeight="1">
      <c r="A78" s="14">
        <v>45663.0</v>
      </c>
      <c r="B78" s="8" t="str">
        <f t="shared" si="1"/>
        <v>Jan-25</v>
      </c>
      <c r="D78" s="12" t="s">
        <v>14</v>
      </c>
      <c r="E78" s="13">
        <v>293.0</v>
      </c>
      <c r="F78" s="13">
        <v>13.0</v>
      </c>
      <c r="G78" s="8">
        <f t="shared" si="2"/>
        <v>306</v>
      </c>
      <c r="H78" s="13" t="s">
        <v>53</v>
      </c>
    </row>
    <row r="79" ht="15.75" customHeight="1">
      <c r="A79" s="14">
        <v>45663.0</v>
      </c>
      <c r="B79" s="8" t="str">
        <f t="shared" si="1"/>
        <v>Jan-25</v>
      </c>
      <c r="D79" s="12" t="s">
        <v>15</v>
      </c>
      <c r="E79" s="13">
        <v>68.0</v>
      </c>
      <c r="F79" s="13">
        <v>2.0</v>
      </c>
      <c r="G79" s="8">
        <f t="shared" si="2"/>
        <v>70</v>
      </c>
      <c r="H79" s="13" t="s">
        <v>53</v>
      </c>
    </row>
    <row r="80" ht="15.75" customHeight="1">
      <c r="A80" s="14">
        <v>45663.0</v>
      </c>
      <c r="B80" s="8" t="str">
        <f t="shared" si="1"/>
        <v>Jan-25</v>
      </c>
      <c r="D80" s="12" t="s">
        <v>11</v>
      </c>
      <c r="E80" s="13">
        <v>200.0</v>
      </c>
      <c r="G80" s="8">
        <f t="shared" si="2"/>
        <v>200</v>
      </c>
      <c r="H80" s="13" t="s">
        <v>53</v>
      </c>
    </row>
    <row r="81" ht="15.75" customHeight="1">
      <c r="A81" s="14">
        <v>45664.0</v>
      </c>
      <c r="B81" s="8" t="str">
        <f t="shared" si="1"/>
        <v>Jan-25</v>
      </c>
      <c r="D81" s="12" t="s">
        <v>11</v>
      </c>
      <c r="E81" s="13">
        <v>80.0</v>
      </c>
      <c r="G81" s="8">
        <f t="shared" si="2"/>
        <v>80</v>
      </c>
      <c r="H81" s="13" t="s">
        <v>53</v>
      </c>
    </row>
    <row r="82" ht="15.75" customHeight="1">
      <c r="A82" s="14">
        <v>45664.0</v>
      </c>
      <c r="B82" s="8" t="str">
        <f t="shared" si="1"/>
        <v>Jan-25</v>
      </c>
      <c r="D82" s="12" t="s">
        <v>31</v>
      </c>
      <c r="E82" s="13">
        <v>162.0</v>
      </c>
      <c r="G82" s="8">
        <f t="shared" si="2"/>
        <v>162</v>
      </c>
      <c r="H82" s="13" t="s">
        <v>53</v>
      </c>
    </row>
    <row r="83" ht="15.75" customHeight="1">
      <c r="A83" s="14">
        <v>45665.0</v>
      </c>
      <c r="B83" s="8" t="str">
        <f t="shared" si="1"/>
        <v>Jan-25</v>
      </c>
      <c r="D83" s="12" t="s">
        <v>17</v>
      </c>
      <c r="E83" s="13">
        <v>200.0</v>
      </c>
      <c r="G83" s="8">
        <f t="shared" si="2"/>
        <v>200</v>
      </c>
      <c r="H83" s="13" t="s">
        <v>53</v>
      </c>
    </row>
    <row r="84" ht="15.75" customHeight="1">
      <c r="A84" s="14">
        <v>45665.0</v>
      </c>
      <c r="B84" s="8" t="str">
        <f t="shared" si="1"/>
        <v>Jan-25</v>
      </c>
      <c r="D84" s="12" t="s">
        <v>11</v>
      </c>
      <c r="E84" s="13">
        <v>64.0</v>
      </c>
      <c r="F84" s="13">
        <v>4.0</v>
      </c>
      <c r="G84" s="8">
        <f t="shared" si="2"/>
        <v>68</v>
      </c>
      <c r="H84" s="13" t="s">
        <v>53</v>
      </c>
    </row>
    <row r="85" ht="15.75" customHeight="1">
      <c r="A85" s="14">
        <v>45667.0</v>
      </c>
      <c r="B85" s="8" t="str">
        <f t="shared" si="1"/>
        <v>Jan-25</v>
      </c>
      <c r="D85" s="12" t="s">
        <v>31</v>
      </c>
      <c r="E85" s="13">
        <v>135.0</v>
      </c>
      <c r="G85" s="8">
        <f t="shared" si="2"/>
        <v>135</v>
      </c>
      <c r="H85" s="13" t="s">
        <v>22</v>
      </c>
    </row>
    <row r="86" ht="15.75" customHeight="1">
      <c r="A86" s="14">
        <v>45667.0</v>
      </c>
      <c r="B86" s="8" t="str">
        <f t="shared" si="1"/>
        <v>Jan-25</v>
      </c>
      <c r="D86" s="12" t="s">
        <v>15</v>
      </c>
      <c r="E86" s="13">
        <v>55.0</v>
      </c>
      <c r="F86" s="13">
        <v>9.0</v>
      </c>
      <c r="G86" s="8">
        <f t="shared" si="2"/>
        <v>64</v>
      </c>
      <c r="H86" s="13" t="s">
        <v>22</v>
      </c>
    </row>
    <row r="87" ht="15.75" customHeight="1">
      <c r="A87" s="14">
        <v>45668.0</v>
      </c>
      <c r="B87" s="8" t="str">
        <f t="shared" si="1"/>
        <v>Jan-25</v>
      </c>
      <c r="D87" s="12" t="s">
        <v>31</v>
      </c>
      <c r="E87" s="13">
        <v>92.0</v>
      </c>
      <c r="F87" s="13">
        <v>3.0</v>
      </c>
      <c r="G87" s="8">
        <f t="shared" si="2"/>
        <v>95</v>
      </c>
      <c r="H87" s="13" t="s">
        <v>22</v>
      </c>
    </row>
    <row r="88" ht="15.75" customHeight="1">
      <c r="A88" s="14">
        <v>45670.0</v>
      </c>
      <c r="B88" s="8" t="str">
        <f t="shared" si="1"/>
        <v>Jan-25</v>
      </c>
      <c r="D88" s="12" t="s">
        <v>31</v>
      </c>
      <c r="E88" s="13">
        <v>96.0</v>
      </c>
      <c r="G88" s="8">
        <f t="shared" si="2"/>
        <v>96</v>
      </c>
      <c r="H88" s="13" t="s">
        <v>53</v>
      </c>
    </row>
    <row r="89" ht="15.75" customHeight="1">
      <c r="A89" s="14">
        <v>45670.0</v>
      </c>
      <c r="B89" s="8" t="str">
        <f t="shared" si="1"/>
        <v>Jan-25</v>
      </c>
      <c r="D89" s="12" t="s">
        <v>15</v>
      </c>
      <c r="E89" s="13">
        <v>210.0</v>
      </c>
      <c r="F89" s="13">
        <v>5.0</v>
      </c>
      <c r="G89" s="8">
        <f t="shared" si="2"/>
        <v>215</v>
      </c>
      <c r="H89" s="13" t="s">
        <v>53</v>
      </c>
    </row>
    <row r="90" ht="15.75" customHeight="1">
      <c r="A90" s="14">
        <v>45670.0</v>
      </c>
      <c r="B90" s="8" t="str">
        <f t="shared" si="1"/>
        <v>Jan-25</v>
      </c>
      <c r="D90" s="12" t="s">
        <v>14</v>
      </c>
      <c r="E90" s="13">
        <v>79.0</v>
      </c>
      <c r="G90" s="8">
        <f t="shared" si="2"/>
        <v>79</v>
      </c>
      <c r="H90" s="13" t="s">
        <v>53</v>
      </c>
    </row>
    <row r="91" ht="15.75" customHeight="1">
      <c r="A91" s="14">
        <v>45672.0</v>
      </c>
      <c r="B91" s="8" t="str">
        <f t="shared" si="1"/>
        <v>Jan-25</v>
      </c>
      <c r="D91" s="12" t="s">
        <v>14</v>
      </c>
      <c r="E91" s="13">
        <v>255.0</v>
      </c>
      <c r="F91" s="13">
        <v>10.0</v>
      </c>
      <c r="G91" s="8">
        <f t="shared" si="2"/>
        <v>265</v>
      </c>
      <c r="H91" s="13" t="s">
        <v>53</v>
      </c>
    </row>
    <row r="92" ht="15.75" customHeight="1">
      <c r="A92" s="14">
        <v>45672.0</v>
      </c>
      <c r="B92" s="8" t="str">
        <f t="shared" si="1"/>
        <v>Jan-25</v>
      </c>
      <c r="D92" s="12" t="s">
        <v>11</v>
      </c>
      <c r="E92" s="13">
        <v>400.0</v>
      </c>
      <c r="F92" s="13">
        <v>5.0</v>
      </c>
      <c r="G92" s="8">
        <f t="shared" si="2"/>
        <v>405</v>
      </c>
      <c r="H92" s="13" t="s">
        <v>53</v>
      </c>
    </row>
    <row r="93" ht="15.75" customHeight="1">
      <c r="A93" s="14">
        <v>45673.0</v>
      </c>
      <c r="B93" s="8" t="str">
        <f t="shared" si="1"/>
        <v>Jan-25</v>
      </c>
      <c r="D93" s="12" t="s">
        <v>11</v>
      </c>
      <c r="E93" s="13">
        <v>100.0</v>
      </c>
      <c r="G93" s="8">
        <f t="shared" si="2"/>
        <v>100</v>
      </c>
      <c r="H93" s="13" t="s">
        <v>53</v>
      </c>
      <c r="I93" s="13" t="s">
        <v>127</v>
      </c>
    </row>
    <row r="94" ht="15.75" customHeight="1">
      <c r="A94" s="14">
        <v>45677.0</v>
      </c>
      <c r="B94" s="8" t="str">
        <f t="shared" si="1"/>
        <v>Jan-25</v>
      </c>
      <c r="D94" s="12" t="s">
        <v>11</v>
      </c>
      <c r="E94" s="13">
        <v>87.0</v>
      </c>
      <c r="F94" s="13">
        <v>3.0</v>
      </c>
      <c r="G94" s="8">
        <f t="shared" si="2"/>
        <v>90</v>
      </c>
      <c r="H94" s="13" t="s">
        <v>53</v>
      </c>
      <c r="I94" s="13" t="s">
        <v>128</v>
      </c>
    </row>
    <row r="95" ht="15.75" customHeight="1">
      <c r="A95" s="14">
        <v>45677.0</v>
      </c>
      <c r="B95" s="8" t="str">
        <f t="shared" si="1"/>
        <v>Jan-25</v>
      </c>
      <c r="D95" s="12" t="s">
        <v>14</v>
      </c>
      <c r="E95" s="13">
        <v>42.0</v>
      </c>
      <c r="F95" s="13">
        <v>4.0</v>
      </c>
      <c r="G95" s="8">
        <f t="shared" si="2"/>
        <v>46</v>
      </c>
      <c r="H95" s="13" t="s">
        <v>22</v>
      </c>
      <c r="I95" s="13" t="s">
        <v>122</v>
      </c>
    </row>
    <row r="96" ht="15.75" customHeight="1">
      <c r="A96" s="14">
        <v>45677.0</v>
      </c>
      <c r="B96" s="8" t="str">
        <f t="shared" si="1"/>
        <v>Jan-25</v>
      </c>
      <c r="D96" s="12" t="s">
        <v>14</v>
      </c>
      <c r="E96" s="13">
        <v>167.0</v>
      </c>
      <c r="F96" s="13">
        <v>5.0</v>
      </c>
      <c r="G96" s="8">
        <f t="shared" si="2"/>
        <v>172</v>
      </c>
      <c r="H96" s="13" t="s">
        <v>22</v>
      </c>
      <c r="I96" s="13" t="s">
        <v>122</v>
      </c>
    </row>
    <row r="97" ht="15.75" customHeight="1">
      <c r="A97" s="14">
        <v>45677.0</v>
      </c>
      <c r="B97" s="8" t="str">
        <f t="shared" si="1"/>
        <v>Jan-25</v>
      </c>
      <c r="D97" s="12" t="s">
        <v>15</v>
      </c>
      <c r="E97" s="13">
        <v>70.0</v>
      </c>
      <c r="F97" s="13">
        <v>2.0</v>
      </c>
      <c r="G97" s="8">
        <f t="shared" si="2"/>
        <v>72</v>
      </c>
      <c r="H97" s="13" t="s">
        <v>53</v>
      </c>
      <c r="I97" s="13" t="s">
        <v>128</v>
      </c>
    </row>
    <row r="98" ht="15.75" customHeight="1">
      <c r="A98" s="14">
        <v>45677.0</v>
      </c>
      <c r="B98" s="8" t="str">
        <f t="shared" si="1"/>
        <v>Jan-25</v>
      </c>
      <c r="D98" s="12" t="s">
        <v>31</v>
      </c>
      <c r="E98" s="13">
        <v>68.0</v>
      </c>
      <c r="F98" s="13">
        <v>10.0</v>
      </c>
      <c r="G98" s="8">
        <f t="shared" si="2"/>
        <v>78</v>
      </c>
      <c r="H98" s="13" t="s">
        <v>53</v>
      </c>
      <c r="I98" s="13" t="s">
        <v>128</v>
      </c>
    </row>
    <row r="99" ht="15.75" customHeight="1">
      <c r="A99" s="14">
        <v>45677.0</v>
      </c>
      <c r="B99" s="8" t="str">
        <f t="shared" si="1"/>
        <v>Jan-25</v>
      </c>
      <c r="D99" s="12" t="s">
        <v>17</v>
      </c>
      <c r="E99" s="13">
        <v>324.0</v>
      </c>
      <c r="F99" s="13">
        <v>5.0</v>
      </c>
      <c r="G99" s="8">
        <f t="shared" si="2"/>
        <v>329</v>
      </c>
      <c r="H99" s="13" t="s">
        <v>53</v>
      </c>
      <c r="I99" s="13" t="s">
        <v>128</v>
      </c>
    </row>
    <row r="100" ht="15.75" customHeight="1">
      <c r="A100" s="14">
        <v>45680.0</v>
      </c>
      <c r="B100" s="8" t="str">
        <f t="shared" si="1"/>
        <v>Jan-25</v>
      </c>
      <c r="D100" s="12" t="s">
        <v>14</v>
      </c>
      <c r="E100" s="13">
        <v>278.0</v>
      </c>
      <c r="F100" s="13">
        <v>10.0</v>
      </c>
      <c r="G100" s="8">
        <f t="shared" si="2"/>
        <v>288</v>
      </c>
      <c r="H100" s="13" t="s">
        <v>53</v>
      </c>
    </row>
    <row r="101" ht="15.75" customHeight="1">
      <c r="A101" s="14">
        <v>45680.0</v>
      </c>
      <c r="B101" s="8" t="str">
        <f t="shared" si="1"/>
        <v>Jan-25</v>
      </c>
      <c r="D101" s="12" t="s">
        <v>14</v>
      </c>
      <c r="E101" s="13">
        <v>248.0</v>
      </c>
      <c r="F101" s="13">
        <v>16.0</v>
      </c>
      <c r="G101" s="8">
        <f t="shared" si="2"/>
        <v>264</v>
      </c>
      <c r="H101" s="13" t="s">
        <v>53</v>
      </c>
    </row>
    <row r="102" ht="15.75" customHeight="1">
      <c r="A102" s="14">
        <v>45680.0</v>
      </c>
      <c r="B102" s="8" t="str">
        <f t="shared" si="1"/>
        <v>Jan-25</v>
      </c>
      <c r="D102" s="12" t="s">
        <v>11</v>
      </c>
      <c r="E102" s="13">
        <v>34.0</v>
      </c>
      <c r="F102" s="13">
        <v>3.0</v>
      </c>
      <c r="G102" s="8">
        <f t="shared" si="2"/>
        <v>37</v>
      </c>
      <c r="H102" s="13" t="s">
        <v>53</v>
      </c>
    </row>
    <row r="103" ht="15.75" customHeight="1">
      <c r="A103" s="14">
        <v>45679.0</v>
      </c>
      <c r="B103" s="8" t="str">
        <f t="shared" si="1"/>
        <v>Jan-25</v>
      </c>
      <c r="D103" s="12" t="s">
        <v>14</v>
      </c>
      <c r="E103" s="13">
        <v>41.0</v>
      </c>
      <c r="F103" s="13">
        <v>18.0</v>
      </c>
      <c r="G103" s="8">
        <f t="shared" si="2"/>
        <v>59</v>
      </c>
      <c r="H103" s="13" t="s">
        <v>53</v>
      </c>
    </row>
    <row r="104" ht="15.75" customHeight="1">
      <c r="A104" s="14">
        <v>45679.0</v>
      </c>
      <c r="B104" s="8" t="str">
        <f t="shared" si="1"/>
        <v>Jan-25</v>
      </c>
      <c r="D104" s="12" t="s">
        <v>24</v>
      </c>
      <c r="E104" s="13">
        <v>114.0</v>
      </c>
      <c r="G104" s="8">
        <f t="shared" si="2"/>
        <v>114</v>
      </c>
      <c r="H104" s="13" t="s">
        <v>53</v>
      </c>
    </row>
    <row r="105" ht="15.75" customHeight="1">
      <c r="A105" s="14">
        <v>45679.0</v>
      </c>
      <c r="B105" s="8" t="str">
        <f t="shared" si="1"/>
        <v>Jan-25</v>
      </c>
      <c r="D105" s="12" t="s">
        <v>17</v>
      </c>
      <c r="E105" s="13">
        <v>119.0</v>
      </c>
      <c r="G105" s="8">
        <f t="shared" si="2"/>
        <v>119</v>
      </c>
      <c r="H105" s="13" t="s">
        <v>53</v>
      </c>
    </row>
    <row r="106" ht="15.75" customHeight="1">
      <c r="A106" s="14">
        <v>45679.0</v>
      </c>
      <c r="B106" s="8" t="str">
        <f t="shared" si="1"/>
        <v>Jan-25</v>
      </c>
      <c r="D106" s="12" t="s">
        <v>31</v>
      </c>
      <c r="E106" s="13">
        <v>69.0</v>
      </c>
      <c r="G106" s="8">
        <f t="shared" si="2"/>
        <v>69</v>
      </c>
      <c r="H106" s="13" t="s">
        <v>53</v>
      </c>
    </row>
    <row r="107" ht="15.75" customHeight="1">
      <c r="A107" s="14">
        <v>45681.0</v>
      </c>
      <c r="B107" s="8" t="str">
        <f t="shared" si="1"/>
        <v>Jan-25</v>
      </c>
      <c r="D107" s="12" t="s">
        <v>11</v>
      </c>
      <c r="E107" s="13">
        <v>420.0</v>
      </c>
      <c r="F107" s="13">
        <v>20.0</v>
      </c>
      <c r="G107" s="8">
        <f t="shared" si="2"/>
        <v>440</v>
      </c>
      <c r="H107" s="13" t="s">
        <v>53</v>
      </c>
    </row>
    <row r="108" ht="15.75" customHeight="1">
      <c r="A108" s="14">
        <v>45682.0</v>
      </c>
      <c r="B108" s="8" t="str">
        <f t="shared" si="1"/>
        <v>Jan-25</v>
      </c>
      <c r="D108" s="12" t="s">
        <v>11</v>
      </c>
      <c r="E108" s="13">
        <v>215.0</v>
      </c>
      <c r="F108" s="13">
        <v>20.0</v>
      </c>
      <c r="G108" s="8">
        <f t="shared" si="2"/>
        <v>235</v>
      </c>
      <c r="H108" s="13" t="s">
        <v>53</v>
      </c>
    </row>
    <row r="109" ht="15.75" customHeight="1">
      <c r="A109" s="14">
        <v>45682.0</v>
      </c>
      <c r="B109" s="8" t="str">
        <f t="shared" si="1"/>
        <v>Jan-25</v>
      </c>
      <c r="D109" s="12" t="s">
        <v>17</v>
      </c>
      <c r="E109" s="13">
        <v>193.0</v>
      </c>
      <c r="F109" s="13">
        <v>31.0</v>
      </c>
      <c r="G109" s="8">
        <f t="shared" si="2"/>
        <v>224</v>
      </c>
      <c r="H109" s="13" t="s">
        <v>53</v>
      </c>
    </row>
    <row r="110" ht="15.75" customHeight="1">
      <c r="A110" s="14">
        <v>45682.0</v>
      </c>
      <c r="B110" s="8" t="str">
        <f t="shared" si="1"/>
        <v>Jan-25</v>
      </c>
      <c r="D110" s="12" t="s">
        <v>14</v>
      </c>
      <c r="E110" s="13">
        <v>55.0</v>
      </c>
      <c r="G110" s="8">
        <f t="shared" si="2"/>
        <v>55</v>
      </c>
      <c r="H110" s="13" t="s">
        <v>53</v>
      </c>
    </row>
    <row r="111" ht="15.75" customHeight="1">
      <c r="A111" s="14">
        <v>45687.0</v>
      </c>
      <c r="B111" s="8" t="str">
        <f t="shared" si="1"/>
        <v>Jan-25</v>
      </c>
      <c r="D111" s="12" t="s">
        <v>17</v>
      </c>
      <c r="E111" s="13">
        <v>657.0</v>
      </c>
      <c r="F111" s="13">
        <v>35.0</v>
      </c>
      <c r="G111" s="8">
        <f t="shared" si="2"/>
        <v>692</v>
      </c>
      <c r="H111" s="13" t="s">
        <v>53</v>
      </c>
    </row>
    <row r="112" ht="15.75" customHeight="1">
      <c r="A112" s="14">
        <v>45691.0</v>
      </c>
      <c r="B112" s="8" t="str">
        <f t="shared" si="1"/>
        <v>Feb-25</v>
      </c>
      <c r="D112" s="12" t="s">
        <v>14</v>
      </c>
      <c r="E112" s="13">
        <v>557.0</v>
      </c>
      <c r="F112" s="13">
        <v>19.0</v>
      </c>
      <c r="G112" s="8">
        <f t="shared" si="2"/>
        <v>576</v>
      </c>
      <c r="H112" s="13" t="s">
        <v>53</v>
      </c>
    </row>
    <row r="113" ht="15.75" customHeight="1">
      <c r="A113" s="14">
        <v>45692.0</v>
      </c>
      <c r="B113" s="8" t="str">
        <f t="shared" si="1"/>
        <v>Feb-25</v>
      </c>
      <c r="D113" s="12" t="s">
        <v>14</v>
      </c>
      <c r="E113" s="13">
        <v>287.0</v>
      </c>
      <c r="F113" s="13">
        <v>25.0</v>
      </c>
      <c r="G113" s="8">
        <f t="shared" si="2"/>
        <v>312</v>
      </c>
      <c r="H113" s="13" t="s">
        <v>53</v>
      </c>
    </row>
    <row r="114" ht="15.75" customHeight="1">
      <c r="A114" s="14">
        <v>45692.0</v>
      </c>
      <c r="B114" s="8" t="str">
        <f t="shared" si="1"/>
        <v>Feb-25</v>
      </c>
      <c r="D114" s="12" t="s">
        <v>31</v>
      </c>
      <c r="E114" s="13">
        <v>103.0</v>
      </c>
      <c r="G114" s="8">
        <f t="shared" si="2"/>
        <v>103</v>
      </c>
      <c r="H114" s="13" t="s">
        <v>53</v>
      </c>
    </row>
    <row r="115" ht="15.75" customHeight="1">
      <c r="A115" s="14">
        <v>45692.0</v>
      </c>
      <c r="B115" s="8" t="str">
        <f t="shared" si="1"/>
        <v>Feb-25</v>
      </c>
      <c r="D115" s="12" t="s">
        <v>15</v>
      </c>
      <c r="E115" s="13">
        <v>154.0</v>
      </c>
      <c r="G115" s="8">
        <f t="shared" si="2"/>
        <v>154</v>
      </c>
      <c r="H115" s="13" t="s">
        <v>53</v>
      </c>
    </row>
    <row r="116" ht="15.75" customHeight="1">
      <c r="A116" s="14">
        <v>45692.0</v>
      </c>
      <c r="B116" s="8" t="str">
        <f t="shared" si="1"/>
        <v>Feb-25</v>
      </c>
      <c r="D116" s="12" t="s">
        <v>24</v>
      </c>
      <c r="E116" s="13">
        <v>42.0</v>
      </c>
      <c r="F116" s="13">
        <v>34.0</v>
      </c>
      <c r="G116" s="8">
        <f t="shared" si="2"/>
        <v>76</v>
      </c>
      <c r="H116" s="13" t="s">
        <v>53</v>
      </c>
    </row>
    <row r="117" ht="15.75" customHeight="1">
      <c r="A117" s="14">
        <v>45693.0</v>
      </c>
      <c r="B117" s="8" t="str">
        <f t="shared" si="1"/>
        <v>Feb-25</v>
      </c>
      <c r="D117" s="12" t="s">
        <v>11</v>
      </c>
      <c r="E117" s="13">
        <v>350.0</v>
      </c>
      <c r="G117" s="8">
        <f t="shared" si="2"/>
        <v>350</v>
      </c>
      <c r="H117" s="13" t="s">
        <v>53</v>
      </c>
    </row>
    <row r="118" ht="15.75" customHeight="1">
      <c r="A118" s="14">
        <v>45693.0</v>
      </c>
      <c r="B118" s="8" t="str">
        <f t="shared" si="1"/>
        <v>Feb-25</v>
      </c>
      <c r="D118" s="12" t="s">
        <v>14</v>
      </c>
      <c r="E118" s="13">
        <v>74.0</v>
      </c>
      <c r="G118" s="8">
        <f t="shared" si="2"/>
        <v>74</v>
      </c>
      <c r="H118" s="13" t="s">
        <v>53</v>
      </c>
    </row>
    <row r="119" ht="15.75" customHeight="1">
      <c r="A119" s="14">
        <v>45693.0</v>
      </c>
      <c r="B119" s="8" t="str">
        <f t="shared" si="1"/>
        <v>Feb-25</v>
      </c>
      <c r="D119" s="12" t="s">
        <v>17</v>
      </c>
      <c r="E119" s="13">
        <v>22.0</v>
      </c>
      <c r="G119" s="8">
        <f t="shared" si="2"/>
        <v>22</v>
      </c>
      <c r="H119" s="13" t="s">
        <v>53</v>
      </c>
    </row>
    <row r="120" ht="15.75" customHeight="1">
      <c r="A120" s="14">
        <v>45696.0</v>
      </c>
      <c r="B120" s="8" t="str">
        <f t="shared" si="1"/>
        <v>Feb-25</v>
      </c>
      <c r="D120" s="12" t="s">
        <v>11</v>
      </c>
      <c r="E120" s="13">
        <v>341.0</v>
      </c>
      <c r="G120" s="8">
        <f t="shared" si="2"/>
        <v>341</v>
      </c>
      <c r="H120" s="13" t="s">
        <v>53</v>
      </c>
    </row>
    <row r="121" ht="15.75" customHeight="1">
      <c r="A121" s="14">
        <v>45696.0</v>
      </c>
      <c r="B121" s="8" t="str">
        <f t="shared" si="1"/>
        <v>Feb-25</v>
      </c>
      <c r="D121" s="12" t="s">
        <v>14</v>
      </c>
      <c r="E121" s="13">
        <v>70.0</v>
      </c>
      <c r="G121" s="8">
        <f t="shared" si="2"/>
        <v>70</v>
      </c>
      <c r="H121" s="13" t="s">
        <v>53</v>
      </c>
    </row>
    <row r="122" ht="15.75" customHeight="1">
      <c r="A122" s="14">
        <v>45700.0</v>
      </c>
      <c r="B122" s="8" t="str">
        <f t="shared" si="1"/>
        <v>Feb-25</v>
      </c>
      <c r="D122" s="12" t="s">
        <v>14</v>
      </c>
      <c r="E122" s="13">
        <v>652.0</v>
      </c>
      <c r="F122" s="13">
        <v>5.0</v>
      </c>
      <c r="G122" s="8">
        <f t="shared" si="2"/>
        <v>657</v>
      </c>
      <c r="H122" s="13" t="s">
        <v>53</v>
      </c>
      <c r="I122" s="13" t="s">
        <v>129</v>
      </c>
    </row>
    <row r="123" ht="15.75" customHeight="1">
      <c r="A123" s="14">
        <v>45701.0</v>
      </c>
      <c r="B123" s="8" t="str">
        <f t="shared" si="1"/>
        <v>Feb-25</v>
      </c>
      <c r="D123" s="12" t="s">
        <v>14</v>
      </c>
      <c r="E123" s="13">
        <v>256.0</v>
      </c>
      <c r="G123" s="8">
        <f t="shared" si="2"/>
        <v>256</v>
      </c>
      <c r="H123" s="13" t="s">
        <v>53</v>
      </c>
      <c r="I123" s="13" t="s">
        <v>129</v>
      </c>
    </row>
    <row r="124" ht="15.75" customHeight="1">
      <c r="A124" s="14">
        <v>45701.0</v>
      </c>
      <c r="B124" s="8" t="str">
        <f t="shared" si="1"/>
        <v>Feb-25</v>
      </c>
      <c r="D124" s="12" t="s">
        <v>11</v>
      </c>
      <c r="E124" s="13">
        <v>520.0</v>
      </c>
      <c r="G124" s="8">
        <f t="shared" si="2"/>
        <v>520</v>
      </c>
      <c r="H124" s="13" t="s">
        <v>53</v>
      </c>
      <c r="I124" s="13" t="s">
        <v>129</v>
      </c>
    </row>
    <row r="125" ht="15.75" customHeight="1">
      <c r="A125" s="14">
        <v>45702.0</v>
      </c>
      <c r="B125" s="8" t="str">
        <f t="shared" si="1"/>
        <v>Feb-25</v>
      </c>
      <c r="D125" s="12" t="s">
        <v>11</v>
      </c>
      <c r="E125" s="13">
        <v>153.0</v>
      </c>
      <c r="G125" s="8">
        <f t="shared" si="2"/>
        <v>153</v>
      </c>
      <c r="H125" s="13" t="s">
        <v>53</v>
      </c>
      <c r="I125" s="13" t="s">
        <v>130</v>
      </c>
    </row>
    <row r="126" ht="15.75" customHeight="1">
      <c r="A126" s="14">
        <v>45702.0</v>
      </c>
      <c r="B126" s="8" t="str">
        <f t="shared" si="1"/>
        <v>Feb-25</v>
      </c>
      <c r="D126" s="12" t="s">
        <v>24</v>
      </c>
      <c r="E126" s="13">
        <v>70.0</v>
      </c>
      <c r="G126" s="8">
        <f t="shared" si="2"/>
        <v>70</v>
      </c>
      <c r="H126" s="13" t="s">
        <v>53</v>
      </c>
      <c r="I126" s="13" t="s">
        <v>130</v>
      </c>
    </row>
    <row r="127" ht="15.75" customHeight="1">
      <c r="A127" s="14">
        <v>45702.0</v>
      </c>
      <c r="B127" s="8" t="str">
        <f t="shared" si="1"/>
        <v>Feb-25</v>
      </c>
      <c r="D127" s="12" t="s">
        <v>15</v>
      </c>
      <c r="E127" s="13">
        <v>80.0</v>
      </c>
      <c r="G127" s="8">
        <f t="shared" si="2"/>
        <v>80</v>
      </c>
      <c r="H127" s="13" t="s">
        <v>53</v>
      </c>
      <c r="I127" s="13" t="s">
        <v>130</v>
      </c>
    </row>
    <row r="128" ht="15.75" customHeight="1">
      <c r="A128" s="14">
        <v>45703.0</v>
      </c>
      <c r="B128" s="8" t="str">
        <f t="shared" si="1"/>
        <v>Feb-25</v>
      </c>
      <c r="D128" s="12" t="s">
        <v>31</v>
      </c>
      <c r="E128" s="13">
        <v>96.0</v>
      </c>
      <c r="G128" s="8">
        <f t="shared" si="2"/>
        <v>96</v>
      </c>
      <c r="H128" s="13" t="s">
        <v>53</v>
      </c>
    </row>
    <row r="129" ht="15.75" customHeight="1">
      <c r="A129" s="14">
        <v>45703.0</v>
      </c>
      <c r="B129" s="8" t="str">
        <f t="shared" si="1"/>
        <v>Feb-25</v>
      </c>
      <c r="D129" s="12" t="s">
        <v>15</v>
      </c>
      <c r="E129" s="13">
        <v>108.0</v>
      </c>
      <c r="G129" s="8">
        <f t="shared" si="2"/>
        <v>108</v>
      </c>
      <c r="H129" s="13" t="s">
        <v>53</v>
      </c>
    </row>
    <row r="130" ht="15.75" customHeight="1">
      <c r="A130" s="14">
        <v>45703.0</v>
      </c>
      <c r="B130" s="8" t="str">
        <f t="shared" si="1"/>
        <v>Feb-25</v>
      </c>
      <c r="D130" s="12" t="s">
        <v>24</v>
      </c>
      <c r="E130" s="13">
        <v>71.0</v>
      </c>
      <c r="G130" s="8">
        <f t="shared" si="2"/>
        <v>71</v>
      </c>
      <c r="H130" s="13" t="s">
        <v>53</v>
      </c>
    </row>
    <row r="131" ht="15.75" customHeight="1">
      <c r="A131" s="14">
        <v>45703.0</v>
      </c>
      <c r="B131" s="8" t="str">
        <f t="shared" si="1"/>
        <v>Feb-25</v>
      </c>
      <c r="D131" s="12" t="s">
        <v>17</v>
      </c>
      <c r="E131" s="13">
        <v>105.0</v>
      </c>
      <c r="G131" s="8">
        <f t="shared" si="2"/>
        <v>105</v>
      </c>
      <c r="H131" s="13" t="s">
        <v>53</v>
      </c>
    </row>
    <row r="132" ht="15.75" customHeight="1">
      <c r="A132" s="14">
        <v>45703.0</v>
      </c>
      <c r="B132" s="8" t="str">
        <f t="shared" si="1"/>
        <v>Feb-25</v>
      </c>
      <c r="D132" s="12" t="s">
        <v>11</v>
      </c>
      <c r="E132" s="13">
        <v>211.0</v>
      </c>
      <c r="G132" s="8">
        <f t="shared" si="2"/>
        <v>211</v>
      </c>
      <c r="H132" s="13" t="s">
        <v>53</v>
      </c>
    </row>
    <row r="133" ht="15.75" customHeight="1">
      <c r="A133" s="14">
        <v>45705.0</v>
      </c>
      <c r="B133" s="8" t="str">
        <f t="shared" si="1"/>
        <v>Feb-25</v>
      </c>
      <c r="D133" s="12" t="s">
        <v>14</v>
      </c>
      <c r="E133" s="13">
        <v>115.0</v>
      </c>
      <c r="G133" s="8">
        <f t="shared" si="2"/>
        <v>115</v>
      </c>
      <c r="H133" s="13" t="s">
        <v>53</v>
      </c>
    </row>
    <row r="134" ht="15.75" customHeight="1">
      <c r="A134" s="14">
        <v>45705.0</v>
      </c>
      <c r="B134" s="8" t="str">
        <f t="shared" si="1"/>
        <v>Feb-25</v>
      </c>
      <c r="D134" s="12" t="s">
        <v>17</v>
      </c>
      <c r="E134" s="13">
        <v>140.0</v>
      </c>
      <c r="G134" s="8">
        <f t="shared" si="2"/>
        <v>140</v>
      </c>
      <c r="H134" s="13" t="s">
        <v>53</v>
      </c>
    </row>
    <row r="135" ht="15.75" customHeight="1">
      <c r="A135" s="14">
        <v>45706.0</v>
      </c>
      <c r="B135" s="8" t="str">
        <f t="shared" si="1"/>
        <v>Feb-25</v>
      </c>
      <c r="D135" s="12" t="s">
        <v>17</v>
      </c>
      <c r="E135" s="13">
        <v>407.0</v>
      </c>
      <c r="G135" s="8">
        <f t="shared" si="2"/>
        <v>407</v>
      </c>
      <c r="H135" s="13" t="s">
        <v>53</v>
      </c>
      <c r="I135" s="13" t="s">
        <v>129</v>
      </c>
    </row>
    <row r="136" ht="15.75" customHeight="1">
      <c r="A136" s="14">
        <v>45706.0</v>
      </c>
      <c r="B136" s="8" t="str">
        <f t="shared" si="1"/>
        <v>Feb-25</v>
      </c>
      <c r="D136" s="12" t="s">
        <v>11</v>
      </c>
      <c r="E136" s="13">
        <v>36.0</v>
      </c>
      <c r="G136" s="8">
        <f t="shared" si="2"/>
        <v>36</v>
      </c>
      <c r="H136" s="13" t="s">
        <v>53</v>
      </c>
      <c r="I136" s="13" t="s">
        <v>129</v>
      </c>
    </row>
    <row r="137" ht="15.75" customHeight="1">
      <c r="A137" s="14">
        <v>45706.0</v>
      </c>
      <c r="B137" s="8" t="str">
        <f t="shared" si="1"/>
        <v>Feb-25</v>
      </c>
      <c r="D137" s="12" t="s">
        <v>14</v>
      </c>
      <c r="E137" s="13">
        <v>231.0</v>
      </c>
      <c r="G137" s="8">
        <f t="shared" si="2"/>
        <v>231</v>
      </c>
      <c r="H137" s="13" t="s">
        <v>53</v>
      </c>
      <c r="I137" s="13" t="s">
        <v>129</v>
      </c>
    </row>
    <row r="138" ht="15.75" customHeight="1">
      <c r="A138" s="14">
        <v>45715.0</v>
      </c>
      <c r="B138" s="8" t="str">
        <f t="shared" si="1"/>
        <v>Feb-25</v>
      </c>
      <c r="D138" s="12" t="s">
        <v>11</v>
      </c>
      <c r="E138" s="13">
        <v>691.0</v>
      </c>
      <c r="G138" s="8">
        <f t="shared" si="2"/>
        <v>691</v>
      </c>
      <c r="H138" s="13" t="s">
        <v>53</v>
      </c>
      <c r="I138" s="13" t="s">
        <v>129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138">
      <formula1>'Data Validation'!$C$3:$C$20</formula1>
    </dataValidation>
    <dataValidation type="list" allowBlank="1" showErrorMessage="1" sqref="D2:D138">
      <formula1>'Data Validation'!$B$3:$B$15</formula1>
    </dataValidation>
  </dataValidation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7.29"/>
    <col customWidth="1" min="5" max="5" width="25.14"/>
    <col customWidth="1" min="6" max="26" width="17.29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131</v>
      </c>
      <c r="F1" s="1" t="s">
        <v>6</v>
      </c>
      <c r="G1" s="3" t="s">
        <v>63</v>
      </c>
    </row>
    <row r="2">
      <c r="A2" s="14">
        <v>45600.0</v>
      </c>
      <c r="B2" s="8" t="str">
        <f t="shared" ref="B2:B4" si="1">TEXT(A2,"mmm-yy")</f>
        <v>Nov-24</v>
      </c>
      <c r="D2" s="12" t="s">
        <v>14</v>
      </c>
      <c r="E2" s="13">
        <v>450.0</v>
      </c>
      <c r="F2" s="13" t="s">
        <v>53</v>
      </c>
    </row>
    <row r="3">
      <c r="A3" s="14">
        <v>45602.0</v>
      </c>
      <c r="B3" s="8" t="str">
        <f t="shared" si="1"/>
        <v>Nov-24</v>
      </c>
      <c r="D3" s="12" t="s">
        <v>14</v>
      </c>
      <c r="E3" s="13">
        <v>532.0</v>
      </c>
      <c r="F3" s="13" t="s">
        <v>22</v>
      </c>
    </row>
    <row r="4">
      <c r="A4" s="14">
        <v>45602.0</v>
      </c>
      <c r="B4" s="8" t="str">
        <f t="shared" si="1"/>
        <v>Nov-24</v>
      </c>
      <c r="D4" s="12" t="s">
        <v>15</v>
      </c>
      <c r="E4" s="13">
        <v>200.0</v>
      </c>
      <c r="F4" s="13" t="s">
        <v>22</v>
      </c>
    </row>
    <row r="5">
      <c r="A5" s="14">
        <v>45602.0</v>
      </c>
      <c r="B5" s="8" t="str">
        <f t="shared" ref="B5:B11" si="2">TEXT(A6,"mmm-yy")</f>
        <v>Nov-24</v>
      </c>
      <c r="D5" s="12" t="s">
        <v>11</v>
      </c>
      <c r="E5" s="13">
        <v>68.0</v>
      </c>
      <c r="F5" s="13" t="s">
        <v>22</v>
      </c>
    </row>
    <row r="6">
      <c r="A6" s="14">
        <v>45602.0</v>
      </c>
      <c r="B6" s="8" t="str">
        <f t="shared" si="2"/>
        <v>Nov-24</v>
      </c>
      <c r="D6" s="12" t="s">
        <v>14</v>
      </c>
      <c r="E6" s="13">
        <v>371.0</v>
      </c>
      <c r="F6" s="13" t="s">
        <v>22</v>
      </c>
    </row>
    <row r="7">
      <c r="A7" s="14">
        <v>45602.0</v>
      </c>
      <c r="B7" s="8" t="str">
        <f t="shared" si="2"/>
        <v>Nov-24</v>
      </c>
      <c r="D7" s="12" t="s">
        <v>11</v>
      </c>
      <c r="E7" s="13">
        <v>235.0</v>
      </c>
      <c r="F7" s="13" t="s">
        <v>22</v>
      </c>
    </row>
    <row r="8">
      <c r="A8" s="14">
        <v>45602.0</v>
      </c>
      <c r="B8" s="8" t="str">
        <f t="shared" si="2"/>
        <v>Nov-24</v>
      </c>
      <c r="D8" s="12" t="s">
        <v>15</v>
      </c>
      <c r="E8" s="13">
        <v>30.0</v>
      </c>
      <c r="F8" s="13" t="s">
        <v>22</v>
      </c>
    </row>
    <row r="9">
      <c r="A9" s="14">
        <v>45607.0</v>
      </c>
      <c r="B9" s="8" t="str">
        <f t="shared" si="2"/>
        <v>Nov-24</v>
      </c>
      <c r="D9" s="12" t="s">
        <v>15</v>
      </c>
      <c r="E9" s="13">
        <v>880.0</v>
      </c>
      <c r="F9" s="13" t="s">
        <v>12</v>
      </c>
      <c r="G9" s="13" t="s">
        <v>132</v>
      </c>
    </row>
    <row r="10">
      <c r="A10" s="14">
        <v>45608.0</v>
      </c>
      <c r="B10" s="8" t="str">
        <f t="shared" si="2"/>
        <v>Nov-24</v>
      </c>
      <c r="D10" s="12" t="s">
        <v>31</v>
      </c>
      <c r="E10" s="13">
        <v>322.0</v>
      </c>
      <c r="F10" s="13" t="s">
        <v>12</v>
      </c>
    </row>
    <row r="11">
      <c r="A11" s="14">
        <v>45608.0</v>
      </c>
      <c r="B11" s="8" t="str">
        <f t="shared" si="2"/>
        <v>Nov-24</v>
      </c>
      <c r="D11" s="12" t="s">
        <v>11</v>
      </c>
      <c r="E11" s="13">
        <v>100.0</v>
      </c>
      <c r="F11" s="13" t="s">
        <v>12</v>
      </c>
    </row>
    <row r="12">
      <c r="A12" s="14">
        <v>45609.0</v>
      </c>
      <c r="B12" s="8" t="str">
        <f t="shared" ref="B12:B34" si="3">TEXT(A12,"mmm-yy")</f>
        <v>Nov-24</v>
      </c>
      <c r="D12" s="12" t="s">
        <v>11</v>
      </c>
      <c r="E12" s="13">
        <v>310.0</v>
      </c>
      <c r="F12" s="13" t="s">
        <v>23</v>
      </c>
      <c r="G12" s="8"/>
    </row>
    <row r="13">
      <c r="A13" s="14">
        <v>45609.0</v>
      </c>
      <c r="B13" s="8" t="str">
        <f t="shared" si="3"/>
        <v>Nov-24</v>
      </c>
      <c r="D13" s="12" t="s">
        <v>11</v>
      </c>
      <c r="E13" s="13">
        <v>315.0</v>
      </c>
      <c r="F13" s="13" t="s">
        <v>53</v>
      </c>
    </row>
    <row r="14">
      <c r="A14" s="14">
        <v>45609.0</v>
      </c>
      <c r="B14" s="8" t="str">
        <f t="shared" si="3"/>
        <v>Nov-24</v>
      </c>
      <c r="D14" s="12" t="s">
        <v>15</v>
      </c>
      <c r="E14" s="13">
        <v>54.0</v>
      </c>
      <c r="F14" s="13" t="s">
        <v>53</v>
      </c>
    </row>
    <row r="15">
      <c r="A15" s="14">
        <v>45609.0</v>
      </c>
      <c r="B15" s="8" t="str">
        <f t="shared" si="3"/>
        <v>Nov-24</v>
      </c>
      <c r="D15" s="12" t="s">
        <v>31</v>
      </c>
      <c r="E15" s="13">
        <v>63.0</v>
      </c>
      <c r="F15" s="13" t="s">
        <v>53</v>
      </c>
      <c r="G15" s="8"/>
    </row>
    <row r="16">
      <c r="A16" s="14">
        <v>45609.0</v>
      </c>
      <c r="B16" s="8" t="str">
        <f t="shared" si="3"/>
        <v>Nov-24</v>
      </c>
      <c r="D16" s="12" t="s">
        <v>31</v>
      </c>
      <c r="E16" s="13">
        <v>140.0</v>
      </c>
      <c r="F16" s="13" t="s">
        <v>53</v>
      </c>
      <c r="G16" s="8"/>
    </row>
    <row r="17">
      <c r="A17" s="14">
        <v>45610.0</v>
      </c>
      <c r="B17" s="8" t="str">
        <f t="shared" si="3"/>
        <v>Nov-24</v>
      </c>
      <c r="D17" s="12" t="s">
        <v>28</v>
      </c>
      <c r="E17" s="13">
        <v>102.0</v>
      </c>
      <c r="F17" s="13" t="s">
        <v>53</v>
      </c>
      <c r="G17" s="8"/>
    </row>
    <row r="18">
      <c r="A18" s="14">
        <v>45610.0</v>
      </c>
      <c r="B18" s="8" t="str">
        <f t="shared" si="3"/>
        <v>Nov-24</v>
      </c>
      <c r="D18" s="12" t="s">
        <v>14</v>
      </c>
      <c r="E18" s="13">
        <v>123.0</v>
      </c>
      <c r="F18" s="13" t="s">
        <v>53</v>
      </c>
    </row>
    <row r="19">
      <c r="A19" s="14">
        <v>45611.0</v>
      </c>
      <c r="B19" s="8" t="str">
        <f t="shared" si="3"/>
        <v>Nov-24</v>
      </c>
      <c r="D19" s="12" t="s">
        <v>17</v>
      </c>
      <c r="E19" s="13">
        <v>600.0</v>
      </c>
      <c r="F19" s="13" t="s">
        <v>53</v>
      </c>
    </row>
    <row r="20">
      <c r="A20" s="14">
        <v>45612.0</v>
      </c>
      <c r="B20" s="8" t="str">
        <f t="shared" si="3"/>
        <v>Nov-24</v>
      </c>
      <c r="D20" s="12" t="s">
        <v>17</v>
      </c>
      <c r="E20" s="13">
        <v>352.0</v>
      </c>
      <c r="F20" s="13" t="s">
        <v>53</v>
      </c>
    </row>
    <row r="21" ht="15.75" customHeight="1">
      <c r="A21" s="14">
        <v>45614.0</v>
      </c>
      <c r="B21" s="8" t="str">
        <f t="shared" si="3"/>
        <v>Nov-24</v>
      </c>
      <c r="D21" s="12" t="s">
        <v>17</v>
      </c>
      <c r="E21" s="13">
        <v>150.0</v>
      </c>
      <c r="F21" s="13" t="s">
        <v>12</v>
      </c>
    </row>
    <row r="22" ht="15.75" customHeight="1">
      <c r="A22" s="14">
        <v>45618.0</v>
      </c>
      <c r="B22" s="8" t="str">
        <f t="shared" si="3"/>
        <v>Nov-24</v>
      </c>
      <c r="D22" s="12" t="s">
        <v>28</v>
      </c>
      <c r="E22" s="13">
        <v>102.0</v>
      </c>
      <c r="F22" s="13" t="s">
        <v>32</v>
      </c>
    </row>
    <row r="23" ht="15.75" customHeight="1">
      <c r="A23" s="14">
        <v>45619.0</v>
      </c>
      <c r="B23" s="8" t="str">
        <f t="shared" si="3"/>
        <v>Nov-24</v>
      </c>
      <c r="D23" s="12" t="s">
        <v>28</v>
      </c>
      <c r="E23" s="13">
        <v>496.0</v>
      </c>
      <c r="F23" s="13" t="s">
        <v>32</v>
      </c>
    </row>
    <row r="24" ht="15.75" customHeight="1">
      <c r="A24" s="14">
        <v>45642.0</v>
      </c>
      <c r="B24" s="8" t="str">
        <f t="shared" si="3"/>
        <v>Dec-24</v>
      </c>
      <c r="D24" s="12" t="s">
        <v>14</v>
      </c>
      <c r="E24" s="13">
        <v>85.0</v>
      </c>
      <c r="F24" s="13" t="s">
        <v>53</v>
      </c>
    </row>
    <row r="25" ht="15.75" customHeight="1">
      <c r="A25" s="14">
        <v>45642.0</v>
      </c>
      <c r="B25" s="8" t="str">
        <f t="shared" si="3"/>
        <v>Dec-24</v>
      </c>
      <c r="D25" s="12" t="s">
        <v>14</v>
      </c>
      <c r="E25" s="13">
        <v>108.0</v>
      </c>
      <c r="F25" s="13" t="s">
        <v>53</v>
      </c>
    </row>
    <row r="26" ht="15.75" customHeight="1">
      <c r="A26" s="14">
        <v>45647.0</v>
      </c>
      <c r="B26" s="8" t="str">
        <f t="shared" si="3"/>
        <v>Dec-24</v>
      </c>
      <c r="D26" s="12" t="s">
        <v>17</v>
      </c>
      <c r="E26" s="13">
        <v>430.0</v>
      </c>
      <c r="F26" s="13" t="s">
        <v>53</v>
      </c>
    </row>
    <row r="27" ht="15.75" customHeight="1">
      <c r="A27" s="14">
        <v>45654.0</v>
      </c>
      <c r="B27" s="8" t="str">
        <f t="shared" si="3"/>
        <v>Dec-24</v>
      </c>
      <c r="D27" s="12" t="s">
        <v>31</v>
      </c>
      <c r="E27" s="13">
        <v>350.0</v>
      </c>
      <c r="F27" s="13" t="s">
        <v>53</v>
      </c>
    </row>
    <row r="28" ht="15.75" customHeight="1">
      <c r="A28" s="14">
        <v>45657.0</v>
      </c>
      <c r="B28" s="8" t="str">
        <f t="shared" si="3"/>
        <v>Dec-24</v>
      </c>
      <c r="D28" s="12" t="s">
        <v>11</v>
      </c>
      <c r="E28" s="13">
        <v>780.0</v>
      </c>
      <c r="F28" s="13" t="s">
        <v>53</v>
      </c>
    </row>
    <row r="29" ht="15.75" customHeight="1">
      <c r="A29" s="14">
        <v>45657.0</v>
      </c>
      <c r="B29" s="8" t="str">
        <f t="shared" si="3"/>
        <v>Dec-24</v>
      </c>
      <c r="D29" s="12" t="s">
        <v>17</v>
      </c>
      <c r="E29" s="13">
        <v>314.0</v>
      </c>
      <c r="F29" s="13" t="s">
        <v>53</v>
      </c>
    </row>
    <row r="30" ht="15.75" customHeight="1">
      <c r="A30" s="14">
        <v>45661.0</v>
      </c>
      <c r="B30" s="8" t="str">
        <f t="shared" si="3"/>
        <v>Jan-25</v>
      </c>
      <c r="D30" s="12" t="s">
        <v>17</v>
      </c>
      <c r="E30" s="13">
        <v>350.0</v>
      </c>
      <c r="F30" s="13" t="s">
        <v>23</v>
      </c>
    </row>
    <row r="31" ht="15.75" customHeight="1">
      <c r="A31" s="14">
        <v>45661.0</v>
      </c>
      <c r="B31" s="8" t="str">
        <f t="shared" si="3"/>
        <v>Jan-25</v>
      </c>
      <c r="D31" s="12" t="s">
        <v>11</v>
      </c>
      <c r="E31" s="13">
        <v>210.0</v>
      </c>
      <c r="F31" s="13" t="s">
        <v>23</v>
      </c>
    </row>
    <row r="32" ht="15.75" customHeight="1">
      <c r="A32" s="14">
        <v>45671.0</v>
      </c>
      <c r="B32" s="8" t="str">
        <f t="shared" si="3"/>
        <v>Jan-25</v>
      </c>
      <c r="D32" s="12" t="s">
        <v>14</v>
      </c>
      <c r="E32" s="13">
        <v>205.0</v>
      </c>
      <c r="F32" s="13" t="s">
        <v>53</v>
      </c>
    </row>
    <row r="33" ht="15.75" customHeight="1">
      <c r="A33" s="14">
        <v>45677.0</v>
      </c>
      <c r="B33" s="8" t="str">
        <f t="shared" si="3"/>
        <v>Jan-25</v>
      </c>
      <c r="D33" s="12" t="s">
        <v>133</v>
      </c>
      <c r="E33" s="13">
        <v>758.0</v>
      </c>
      <c r="F33" s="13" t="s">
        <v>53</v>
      </c>
      <c r="G33" s="13" t="s">
        <v>134</v>
      </c>
    </row>
    <row r="34" ht="15.75" customHeight="1">
      <c r="A34" s="14">
        <v>45681.0</v>
      </c>
      <c r="B34" s="8" t="str">
        <f t="shared" si="3"/>
        <v>Jan-25</v>
      </c>
      <c r="D34" s="12" t="s">
        <v>11</v>
      </c>
      <c r="E34" s="13">
        <v>420.0</v>
      </c>
      <c r="F34" s="13" t="s">
        <v>53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34">
      <formula1>" GV2 Remote Main PCB, GV3 Digital PCB, GV2 Regulator,GV4 Ozeo Remote PCB,GV3 Smart PCB,GV3 Power PCB,GV4 Studio+ Remote PCB,GV4 Alpha Regulator PCB,All pcb"</formula1>
    </dataValidation>
    <dataValidation type="list" allowBlank="1" showErrorMessage="1" sqref="F2:F34">
      <formula1>'Data Validation'!$C$3:$C$20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9.86"/>
    <col customWidth="1" min="3" max="3" width="9.43"/>
    <col customWidth="1" min="4" max="4" width="18.57"/>
    <col customWidth="1" min="5" max="5" width="18.14"/>
    <col customWidth="1" min="6" max="6" width="17.29"/>
    <col customWidth="1" min="7" max="7" width="16.86"/>
    <col customWidth="1" min="8" max="8" width="19.86"/>
    <col customWidth="1" min="9" max="9" width="10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123</v>
      </c>
      <c r="F1" s="20" t="s">
        <v>61</v>
      </c>
      <c r="G1" s="1" t="s">
        <v>124</v>
      </c>
      <c r="H1" s="1" t="s">
        <v>6</v>
      </c>
      <c r="I1" s="13" t="s">
        <v>63</v>
      </c>
    </row>
    <row r="2" hidden="1">
      <c r="A2" s="14">
        <v>45600.0</v>
      </c>
      <c r="B2" s="8" t="str">
        <f t="shared" ref="B2:B163" si="1">TEXT(A2,"mmm-yy")</f>
        <v>Nov-24</v>
      </c>
      <c r="D2" s="12" t="s">
        <v>14</v>
      </c>
      <c r="E2" s="13">
        <v>270.0</v>
      </c>
      <c r="F2" s="13">
        <v>25.0</v>
      </c>
      <c r="G2" s="8">
        <f t="shared" ref="G2:G101" si="2">SUM(E2:F2)</f>
        <v>295</v>
      </c>
      <c r="H2" s="13" t="s">
        <v>58</v>
      </c>
    </row>
    <row r="3" hidden="1">
      <c r="A3" s="14">
        <v>45600.0</v>
      </c>
      <c r="B3" s="8" t="str">
        <f t="shared" si="1"/>
        <v>Nov-24</v>
      </c>
      <c r="D3" s="12" t="s">
        <v>14</v>
      </c>
      <c r="E3" s="13">
        <v>280.0</v>
      </c>
      <c r="F3" s="13">
        <v>30.0</v>
      </c>
      <c r="G3" s="8">
        <f t="shared" si="2"/>
        <v>310</v>
      </c>
      <c r="H3" s="13" t="s">
        <v>22</v>
      </c>
    </row>
    <row r="4" hidden="1">
      <c r="A4" s="14">
        <v>45601.0</v>
      </c>
      <c r="B4" s="8" t="str">
        <f t="shared" si="1"/>
        <v>Nov-24</v>
      </c>
      <c r="D4" s="12" t="s">
        <v>14</v>
      </c>
      <c r="E4" s="13">
        <v>290.0</v>
      </c>
      <c r="F4" s="13">
        <v>21.0</v>
      </c>
      <c r="G4" s="8">
        <f t="shared" si="2"/>
        <v>311</v>
      </c>
      <c r="H4" s="13" t="s">
        <v>46</v>
      </c>
    </row>
    <row r="5" hidden="1">
      <c r="A5" s="14">
        <v>45601.0</v>
      </c>
      <c r="B5" s="8" t="str">
        <f t="shared" si="1"/>
        <v>Nov-24</v>
      </c>
      <c r="D5" s="12" t="s">
        <v>14</v>
      </c>
      <c r="E5" s="13">
        <v>340.0</v>
      </c>
      <c r="F5" s="13">
        <v>23.0</v>
      </c>
      <c r="G5" s="8">
        <f t="shared" si="2"/>
        <v>363</v>
      </c>
      <c r="H5" s="13" t="s">
        <v>58</v>
      </c>
    </row>
    <row r="6" hidden="1">
      <c r="A6" s="14">
        <v>45602.0</v>
      </c>
      <c r="B6" s="8" t="str">
        <f t="shared" si="1"/>
        <v>Nov-24</v>
      </c>
      <c r="D6" s="12" t="s">
        <v>14</v>
      </c>
      <c r="E6" s="13">
        <v>320.0</v>
      </c>
      <c r="F6" s="13">
        <v>18.0</v>
      </c>
      <c r="G6" s="8">
        <f t="shared" si="2"/>
        <v>338</v>
      </c>
      <c r="H6" s="13" t="s">
        <v>46</v>
      </c>
    </row>
    <row r="7" hidden="1">
      <c r="A7" s="14">
        <v>45603.0</v>
      </c>
      <c r="B7" s="8" t="str">
        <f t="shared" si="1"/>
        <v>Nov-24</v>
      </c>
      <c r="D7" s="12" t="s">
        <v>14</v>
      </c>
      <c r="E7" s="13">
        <v>348.0</v>
      </c>
      <c r="F7" s="13">
        <v>16.0</v>
      </c>
      <c r="G7" s="8">
        <f t="shared" si="2"/>
        <v>364</v>
      </c>
      <c r="H7" s="13" t="s">
        <v>58</v>
      </c>
    </row>
    <row r="8" hidden="1">
      <c r="A8" s="14">
        <v>45603.0</v>
      </c>
      <c r="B8" s="8" t="str">
        <f t="shared" si="1"/>
        <v>Nov-24</v>
      </c>
      <c r="D8" s="12" t="s">
        <v>14</v>
      </c>
      <c r="E8" s="13">
        <v>300.0</v>
      </c>
      <c r="F8" s="13">
        <v>14.0</v>
      </c>
      <c r="G8" s="8">
        <f t="shared" si="2"/>
        <v>314</v>
      </c>
      <c r="H8" s="13" t="s">
        <v>46</v>
      </c>
    </row>
    <row r="9" hidden="1">
      <c r="A9" s="14">
        <v>45603.0</v>
      </c>
      <c r="B9" s="8" t="str">
        <f t="shared" si="1"/>
        <v>Nov-24</v>
      </c>
      <c r="D9" s="12" t="s">
        <v>15</v>
      </c>
      <c r="E9" s="13">
        <v>253.0</v>
      </c>
      <c r="F9" s="13">
        <v>17.0</v>
      </c>
      <c r="G9" s="8">
        <f t="shared" si="2"/>
        <v>270</v>
      </c>
      <c r="H9" s="13" t="s">
        <v>53</v>
      </c>
    </row>
    <row r="10" hidden="1">
      <c r="A10" s="14">
        <v>45604.0</v>
      </c>
      <c r="B10" s="8" t="str">
        <f t="shared" si="1"/>
        <v>Nov-24</v>
      </c>
      <c r="D10" s="12" t="s">
        <v>14</v>
      </c>
      <c r="E10" s="13">
        <v>360.0</v>
      </c>
      <c r="F10" s="13">
        <v>8.0</v>
      </c>
      <c r="G10" s="8">
        <f t="shared" si="2"/>
        <v>368</v>
      </c>
      <c r="H10" s="13" t="s">
        <v>58</v>
      </c>
    </row>
    <row r="11">
      <c r="A11" s="14">
        <v>45604.0</v>
      </c>
      <c r="B11" s="8" t="str">
        <f t="shared" si="1"/>
        <v>Nov-24</v>
      </c>
      <c r="D11" s="12" t="s">
        <v>11</v>
      </c>
      <c r="E11" s="13">
        <v>250.0</v>
      </c>
      <c r="F11" s="13">
        <v>12.0</v>
      </c>
      <c r="G11" s="8">
        <f t="shared" si="2"/>
        <v>262</v>
      </c>
      <c r="H11" s="13" t="s">
        <v>37</v>
      </c>
    </row>
    <row r="12" hidden="1">
      <c r="A12" s="14">
        <v>45605.0</v>
      </c>
      <c r="B12" s="8" t="str">
        <f t="shared" si="1"/>
        <v>Nov-24</v>
      </c>
      <c r="D12" s="12" t="s">
        <v>14</v>
      </c>
      <c r="E12" s="13">
        <v>171.0</v>
      </c>
      <c r="F12" s="13">
        <v>7.0</v>
      </c>
      <c r="G12" s="8">
        <f t="shared" si="2"/>
        <v>178</v>
      </c>
      <c r="H12" s="13" t="s">
        <v>58</v>
      </c>
    </row>
    <row r="13" hidden="1">
      <c r="A13" s="14">
        <v>45605.0</v>
      </c>
      <c r="B13" s="8" t="str">
        <f t="shared" si="1"/>
        <v>Nov-24</v>
      </c>
      <c r="D13" s="12" t="s">
        <v>14</v>
      </c>
      <c r="E13" s="13">
        <v>35.0</v>
      </c>
      <c r="G13" s="8">
        <f t="shared" si="2"/>
        <v>35</v>
      </c>
      <c r="H13" s="13" t="s">
        <v>46</v>
      </c>
    </row>
    <row r="14" hidden="1">
      <c r="A14" s="14">
        <v>45607.0</v>
      </c>
      <c r="B14" s="8" t="str">
        <f t="shared" si="1"/>
        <v>Nov-24</v>
      </c>
      <c r="D14" s="12" t="s">
        <v>14</v>
      </c>
      <c r="E14" s="13">
        <v>250.0</v>
      </c>
      <c r="F14" s="13">
        <v>200.0</v>
      </c>
      <c r="G14" s="8">
        <f t="shared" si="2"/>
        <v>450</v>
      </c>
      <c r="H14" s="13" t="s">
        <v>58</v>
      </c>
    </row>
    <row r="15" hidden="1">
      <c r="A15" s="14">
        <v>45608.0</v>
      </c>
      <c r="B15" s="8" t="str">
        <f t="shared" si="1"/>
        <v>Nov-24</v>
      </c>
      <c r="D15" s="12" t="s">
        <v>31</v>
      </c>
      <c r="E15" s="13">
        <v>230.0</v>
      </c>
      <c r="F15" s="13">
        <v>4.0</v>
      </c>
      <c r="G15" s="8">
        <f t="shared" si="2"/>
        <v>234</v>
      </c>
      <c r="H15" s="13" t="s">
        <v>37</v>
      </c>
    </row>
    <row r="16">
      <c r="A16" s="14">
        <v>45608.0</v>
      </c>
      <c r="B16" s="8" t="str">
        <f t="shared" si="1"/>
        <v>Nov-24</v>
      </c>
      <c r="D16" s="12" t="s">
        <v>11</v>
      </c>
      <c r="E16" s="13">
        <v>210.0</v>
      </c>
      <c r="F16" s="13">
        <v>6.0</v>
      </c>
      <c r="G16" s="8">
        <f t="shared" si="2"/>
        <v>216</v>
      </c>
      <c r="H16" s="13" t="s">
        <v>46</v>
      </c>
    </row>
    <row r="17" hidden="1">
      <c r="A17" s="14">
        <v>45608.0</v>
      </c>
      <c r="B17" s="8" t="str">
        <f t="shared" si="1"/>
        <v>Nov-24</v>
      </c>
      <c r="D17" s="12" t="s">
        <v>14</v>
      </c>
      <c r="E17" s="13">
        <v>216.0</v>
      </c>
      <c r="F17" s="13">
        <v>10.0</v>
      </c>
      <c r="G17" s="8">
        <f t="shared" si="2"/>
        <v>226</v>
      </c>
      <c r="H17" s="13" t="s">
        <v>58</v>
      </c>
    </row>
    <row r="18">
      <c r="A18" s="14">
        <v>45609.0</v>
      </c>
      <c r="B18" s="8" t="str">
        <f t="shared" si="1"/>
        <v>Nov-24</v>
      </c>
      <c r="D18" s="12" t="s">
        <v>11</v>
      </c>
      <c r="E18" s="13">
        <v>405.0</v>
      </c>
      <c r="F18" s="13">
        <v>11.0</v>
      </c>
      <c r="G18" s="8">
        <f t="shared" si="2"/>
        <v>416</v>
      </c>
      <c r="H18" s="13" t="s">
        <v>46</v>
      </c>
    </row>
    <row r="19" hidden="1">
      <c r="A19" s="14">
        <v>45609.0</v>
      </c>
      <c r="B19" s="8" t="str">
        <f t="shared" si="1"/>
        <v>Nov-24</v>
      </c>
      <c r="D19" s="12" t="s">
        <v>31</v>
      </c>
      <c r="E19" s="13">
        <v>380.0</v>
      </c>
      <c r="F19" s="13">
        <v>20.0</v>
      </c>
      <c r="G19" s="8">
        <f t="shared" si="2"/>
        <v>400</v>
      </c>
      <c r="H19" s="13" t="s">
        <v>58</v>
      </c>
    </row>
    <row r="20">
      <c r="A20" s="14">
        <v>45610.0</v>
      </c>
      <c r="B20" s="8" t="str">
        <f t="shared" si="1"/>
        <v>Nov-24</v>
      </c>
      <c r="D20" s="12" t="s">
        <v>11</v>
      </c>
      <c r="E20" s="13">
        <v>41.0</v>
      </c>
      <c r="F20" s="13">
        <v>0.0</v>
      </c>
      <c r="G20" s="8">
        <f t="shared" si="2"/>
        <v>41</v>
      </c>
      <c r="H20" s="13" t="s">
        <v>46</v>
      </c>
    </row>
    <row r="21" ht="15.75" hidden="1" customHeight="1">
      <c r="A21" s="14">
        <v>45610.0</v>
      </c>
      <c r="B21" s="8" t="str">
        <f t="shared" si="1"/>
        <v>Nov-24</v>
      </c>
      <c r="D21" s="12" t="s">
        <v>31</v>
      </c>
      <c r="E21" s="13">
        <v>88.0</v>
      </c>
      <c r="F21" s="13">
        <v>9.0</v>
      </c>
      <c r="G21" s="8">
        <f t="shared" si="2"/>
        <v>97</v>
      </c>
      <c r="H21" s="13" t="s">
        <v>58</v>
      </c>
    </row>
    <row r="22" ht="15.75" hidden="1" customHeight="1">
      <c r="A22" s="14">
        <v>45610.0</v>
      </c>
      <c r="B22" s="8" t="str">
        <f t="shared" si="1"/>
        <v>Nov-24</v>
      </c>
      <c r="D22" s="12" t="s">
        <v>15</v>
      </c>
      <c r="E22" s="13">
        <v>80.0</v>
      </c>
      <c r="F22" s="13">
        <v>11.0</v>
      </c>
      <c r="G22" s="8">
        <f t="shared" si="2"/>
        <v>91</v>
      </c>
      <c r="H22" s="13" t="s">
        <v>58</v>
      </c>
    </row>
    <row r="23" ht="15.75" hidden="1" customHeight="1">
      <c r="A23" s="14">
        <v>45610.0</v>
      </c>
      <c r="B23" s="8" t="str">
        <f t="shared" si="1"/>
        <v>Nov-24</v>
      </c>
      <c r="D23" s="12" t="s">
        <v>24</v>
      </c>
      <c r="E23" s="13">
        <v>4.0</v>
      </c>
      <c r="F23" s="13">
        <v>1.0</v>
      </c>
      <c r="G23" s="8">
        <f t="shared" si="2"/>
        <v>5</v>
      </c>
      <c r="H23" s="13" t="s">
        <v>58</v>
      </c>
    </row>
    <row r="24" ht="15.75" hidden="1" customHeight="1">
      <c r="A24" s="14">
        <v>45610.0</v>
      </c>
      <c r="B24" s="8" t="str">
        <f t="shared" si="1"/>
        <v>Nov-24</v>
      </c>
      <c r="D24" s="12" t="s">
        <v>14</v>
      </c>
      <c r="E24" s="13">
        <v>153.0</v>
      </c>
      <c r="F24" s="13">
        <v>8.0</v>
      </c>
      <c r="G24" s="8">
        <f t="shared" si="2"/>
        <v>161</v>
      </c>
      <c r="H24" s="13" t="s">
        <v>58</v>
      </c>
    </row>
    <row r="25" ht="15.75" hidden="1" customHeight="1">
      <c r="A25" s="14">
        <v>45611.0</v>
      </c>
      <c r="B25" s="8" t="str">
        <f t="shared" si="1"/>
        <v>Nov-24</v>
      </c>
      <c r="D25" s="12" t="s">
        <v>28</v>
      </c>
      <c r="E25" s="13">
        <v>76.0</v>
      </c>
      <c r="G25" s="8">
        <f t="shared" si="2"/>
        <v>76</v>
      </c>
      <c r="H25" s="13" t="s">
        <v>58</v>
      </c>
    </row>
    <row r="26" ht="15.75" hidden="1" customHeight="1">
      <c r="A26" s="14">
        <v>45611.0</v>
      </c>
      <c r="B26" s="8" t="str">
        <f t="shared" si="1"/>
        <v>Nov-24</v>
      </c>
      <c r="D26" s="12" t="s">
        <v>14</v>
      </c>
      <c r="E26" s="13">
        <v>182.0</v>
      </c>
      <c r="F26" s="13">
        <v>5.0</v>
      </c>
      <c r="G26" s="8">
        <f t="shared" si="2"/>
        <v>187</v>
      </c>
      <c r="H26" s="13" t="s">
        <v>58</v>
      </c>
    </row>
    <row r="27" ht="15.75" hidden="1" customHeight="1">
      <c r="A27" s="14">
        <v>45611.0</v>
      </c>
      <c r="B27" s="8" t="str">
        <f t="shared" si="1"/>
        <v>Nov-24</v>
      </c>
      <c r="D27" s="12" t="s">
        <v>14</v>
      </c>
      <c r="E27" s="13">
        <v>31.0</v>
      </c>
      <c r="G27" s="8">
        <f t="shared" si="2"/>
        <v>31</v>
      </c>
      <c r="H27" s="13" t="s">
        <v>58</v>
      </c>
      <c r="I27" s="13" t="s">
        <v>135</v>
      </c>
    </row>
    <row r="28" ht="15.75" hidden="1" customHeight="1">
      <c r="A28" s="14">
        <v>45611.0</v>
      </c>
      <c r="B28" s="8" t="str">
        <f t="shared" si="1"/>
        <v>Nov-24</v>
      </c>
      <c r="D28" s="12" t="s">
        <v>17</v>
      </c>
      <c r="E28" s="13">
        <v>10.0</v>
      </c>
      <c r="G28" s="8">
        <f t="shared" si="2"/>
        <v>10</v>
      </c>
      <c r="H28" s="13" t="s">
        <v>58</v>
      </c>
      <c r="I28" s="13" t="s">
        <v>136</v>
      </c>
    </row>
    <row r="29" ht="15.75" customHeight="1">
      <c r="A29" s="14">
        <v>45617.0</v>
      </c>
      <c r="B29" s="8" t="str">
        <f t="shared" si="1"/>
        <v>Nov-24</v>
      </c>
      <c r="D29" s="12" t="s">
        <v>11</v>
      </c>
      <c r="E29" s="13">
        <v>190.0</v>
      </c>
      <c r="F29" s="13">
        <v>2.0</v>
      </c>
      <c r="G29" s="8">
        <f t="shared" si="2"/>
        <v>192</v>
      </c>
      <c r="H29" s="13" t="s">
        <v>37</v>
      </c>
    </row>
    <row r="30" ht="15.75" hidden="1" customHeight="1">
      <c r="A30" s="14">
        <v>45617.0</v>
      </c>
      <c r="B30" s="8" t="str">
        <f t="shared" si="1"/>
        <v>Nov-24</v>
      </c>
      <c r="D30" s="12" t="s">
        <v>17</v>
      </c>
      <c r="E30" s="13">
        <v>300.0</v>
      </c>
      <c r="F30" s="13">
        <v>2.0</v>
      </c>
      <c r="G30" s="8">
        <f t="shared" si="2"/>
        <v>302</v>
      </c>
      <c r="H30" s="13" t="s">
        <v>37</v>
      </c>
    </row>
    <row r="31" ht="15.75" hidden="1" customHeight="1">
      <c r="A31" s="14">
        <v>45617.0</v>
      </c>
      <c r="B31" s="8" t="str">
        <f t="shared" si="1"/>
        <v>Nov-24</v>
      </c>
      <c r="D31" s="12" t="s">
        <v>17</v>
      </c>
      <c r="E31" s="13">
        <v>612.0</v>
      </c>
      <c r="F31" s="13">
        <v>5.0</v>
      </c>
      <c r="G31" s="8">
        <f t="shared" si="2"/>
        <v>617</v>
      </c>
      <c r="H31" s="13" t="s">
        <v>46</v>
      </c>
    </row>
    <row r="32" ht="15.75" hidden="1" customHeight="1">
      <c r="A32" s="14">
        <v>45617.0</v>
      </c>
      <c r="B32" s="8" t="str">
        <f t="shared" si="1"/>
        <v>Nov-24</v>
      </c>
      <c r="D32" s="12" t="s">
        <v>17</v>
      </c>
      <c r="E32" s="13">
        <v>481.0</v>
      </c>
      <c r="F32" s="13">
        <v>3.0</v>
      </c>
      <c r="G32" s="8">
        <f t="shared" si="2"/>
        <v>484</v>
      </c>
      <c r="H32" s="13" t="s">
        <v>53</v>
      </c>
    </row>
    <row r="33" ht="15.75" hidden="1" customHeight="1">
      <c r="A33" s="14">
        <v>45618.0</v>
      </c>
      <c r="B33" s="8" t="str">
        <f t="shared" si="1"/>
        <v>Nov-24</v>
      </c>
      <c r="D33" s="12" t="s">
        <v>17</v>
      </c>
      <c r="E33" s="13">
        <v>129.0</v>
      </c>
      <c r="F33" s="13">
        <v>2.0</v>
      </c>
      <c r="G33" s="8">
        <f t="shared" si="2"/>
        <v>131</v>
      </c>
      <c r="H33" s="13" t="s">
        <v>58</v>
      </c>
      <c r="I33" s="13" t="s">
        <v>137</v>
      </c>
    </row>
    <row r="34" ht="15.75" hidden="1" customHeight="1">
      <c r="A34" s="14">
        <v>45618.0</v>
      </c>
      <c r="B34" s="8" t="str">
        <f t="shared" si="1"/>
        <v>Nov-24</v>
      </c>
      <c r="D34" s="12" t="s">
        <v>17</v>
      </c>
      <c r="E34" s="13">
        <v>327.0</v>
      </c>
      <c r="F34" s="13">
        <v>9.0</v>
      </c>
      <c r="G34" s="8">
        <f t="shared" si="2"/>
        <v>336</v>
      </c>
      <c r="H34" s="13" t="s">
        <v>58</v>
      </c>
      <c r="I34" s="13" t="s">
        <v>138</v>
      </c>
    </row>
    <row r="35" ht="15.75" customHeight="1">
      <c r="A35" s="14">
        <v>45618.0</v>
      </c>
      <c r="B35" s="8" t="str">
        <f t="shared" si="1"/>
        <v>Nov-24</v>
      </c>
      <c r="D35" s="12" t="s">
        <v>11</v>
      </c>
      <c r="E35" s="13">
        <v>71.0</v>
      </c>
      <c r="F35" s="13">
        <v>9.0</v>
      </c>
      <c r="G35" s="8">
        <f t="shared" si="2"/>
        <v>80</v>
      </c>
      <c r="H35" s="13" t="s">
        <v>58</v>
      </c>
    </row>
    <row r="36" ht="15.75" hidden="1" customHeight="1">
      <c r="A36" s="14">
        <v>45618.0</v>
      </c>
      <c r="B36" s="8" t="str">
        <f t="shared" si="1"/>
        <v>Nov-24</v>
      </c>
      <c r="D36" s="12" t="s">
        <v>14</v>
      </c>
      <c r="E36" s="13">
        <v>86.0</v>
      </c>
      <c r="F36" s="13">
        <v>6.0</v>
      </c>
      <c r="G36" s="8">
        <f t="shared" si="2"/>
        <v>92</v>
      </c>
      <c r="H36" s="13" t="s">
        <v>58</v>
      </c>
    </row>
    <row r="37" ht="15.75" hidden="1" customHeight="1">
      <c r="A37" s="14">
        <v>45619.0</v>
      </c>
      <c r="B37" s="8" t="str">
        <f t="shared" si="1"/>
        <v>Nov-24</v>
      </c>
      <c r="D37" s="12" t="s">
        <v>14</v>
      </c>
      <c r="E37" s="13">
        <v>35.0</v>
      </c>
      <c r="F37" s="13">
        <v>1.0</v>
      </c>
      <c r="G37" s="8">
        <f t="shared" si="2"/>
        <v>36</v>
      </c>
      <c r="H37" s="13" t="s">
        <v>58</v>
      </c>
    </row>
    <row r="38" ht="15.75" hidden="1" customHeight="1">
      <c r="A38" s="14">
        <v>45622.0</v>
      </c>
      <c r="B38" s="8" t="str">
        <f t="shared" si="1"/>
        <v>Nov-24</v>
      </c>
      <c r="D38" s="12" t="s">
        <v>14</v>
      </c>
      <c r="E38" s="13">
        <v>320.0</v>
      </c>
      <c r="F38" s="13">
        <v>24.0</v>
      </c>
      <c r="G38" s="8">
        <f t="shared" si="2"/>
        <v>344</v>
      </c>
      <c r="H38" s="13" t="s">
        <v>59</v>
      </c>
    </row>
    <row r="39" ht="15.75" customHeight="1">
      <c r="A39" s="14">
        <v>45622.0</v>
      </c>
      <c r="B39" s="8" t="str">
        <f t="shared" si="1"/>
        <v>Nov-24</v>
      </c>
      <c r="D39" s="12" t="s">
        <v>11</v>
      </c>
      <c r="E39" s="13">
        <v>152.0</v>
      </c>
      <c r="F39" s="13">
        <v>143.0</v>
      </c>
      <c r="G39" s="8">
        <f t="shared" si="2"/>
        <v>295</v>
      </c>
      <c r="H39" s="13" t="s">
        <v>53</v>
      </c>
    </row>
    <row r="40" ht="15.75" hidden="1" customHeight="1">
      <c r="A40" s="14">
        <v>45623.0</v>
      </c>
      <c r="B40" s="8" t="str">
        <f t="shared" si="1"/>
        <v>Nov-24</v>
      </c>
      <c r="D40" s="12" t="s">
        <v>14</v>
      </c>
      <c r="E40" s="13">
        <v>152.0</v>
      </c>
      <c r="F40" s="13">
        <v>5.0</v>
      </c>
      <c r="G40" s="8">
        <f t="shared" si="2"/>
        <v>157</v>
      </c>
      <c r="H40" s="13" t="s">
        <v>59</v>
      </c>
    </row>
    <row r="41" ht="15.75" hidden="1" customHeight="1">
      <c r="A41" s="14">
        <v>45624.0</v>
      </c>
      <c r="B41" s="8" t="str">
        <f t="shared" si="1"/>
        <v>Nov-24</v>
      </c>
      <c r="D41" s="12" t="s">
        <v>14</v>
      </c>
      <c r="E41" s="13">
        <v>120.0</v>
      </c>
      <c r="F41" s="13">
        <v>6.0</v>
      </c>
      <c r="G41" s="8">
        <f t="shared" si="2"/>
        <v>126</v>
      </c>
      <c r="H41" s="13" t="s">
        <v>59</v>
      </c>
    </row>
    <row r="42" ht="15.75" hidden="1" customHeight="1">
      <c r="A42" s="14">
        <v>45624.0</v>
      </c>
      <c r="B42" s="8" t="str">
        <f t="shared" si="1"/>
        <v>Nov-24</v>
      </c>
      <c r="D42" s="12" t="s">
        <v>14</v>
      </c>
      <c r="E42" s="13">
        <v>95.0</v>
      </c>
      <c r="F42" s="13">
        <v>5.0</v>
      </c>
      <c r="G42" s="8">
        <f t="shared" si="2"/>
        <v>100</v>
      </c>
      <c r="H42" s="13" t="s">
        <v>53</v>
      </c>
    </row>
    <row r="43" ht="15.75" customHeight="1">
      <c r="A43" s="14">
        <v>45624.0</v>
      </c>
      <c r="B43" s="8" t="str">
        <f t="shared" si="1"/>
        <v>Nov-24</v>
      </c>
      <c r="D43" s="12" t="s">
        <v>11</v>
      </c>
      <c r="E43" s="13">
        <v>126.0</v>
      </c>
      <c r="F43" s="13">
        <v>5.0</v>
      </c>
      <c r="G43" s="8">
        <f t="shared" si="2"/>
        <v>131</v>
      </c>
      <c r="H43" s="13" t="s">
        <v>37</v>
      </c>
    </row>
    <row r="44" ht="15.75" hidden="1" customHeight="1">
      <c r="A44" s="14">
        <v>45625.0</v>
      </c>
      <c r="B44" s="8" t="str">
        <f t="shared" si="1"/>
        <v>Nov-24</v>
      </c>
      <c r="D44" s="12" t="s">
        <v>14</v>
      </c>
      <c r="E44" s="13">
        <v>383.0</v>
      </c>
      <c r="F44" s="13">
        <v>17.0</v>
      </c>
      <c r="G44" s="8">
        <f t="shared" si="2"/>
        <v>400</v>
      </c>
      <c r="H44" s="13" t="s">
        <v>59</v>
      </c>
    </row>
    <row r="45" ht="15.75" hidden="1" customHeight="1">
      <c r="A45" s="14">
        <v>45625.0</v>
      </c>
      <c r="B45" s="8" t="str">
        <f t="shared" si="1"/>
        <v>Nov-24</v>
      </c>
      <c r="C45" s="13">
        <v>72.0</v>
      </c>
      <c r="D45" s="12" t="s">
        <v>17</v>
      </c>
      <c r="E45" s="13">
        <v>492.0</v>
      </c>
      <c r="F45" s="13">
        <v>3.0</v>
      </c>
      <c r="G45" s="8">
        <f t="shared" si="2"/>
        <v>495</v>
      </c>
      <c r="H45" s="13" t="s">
        <v>37</v>
      </c>
    </row>
    <row r="46" ht="15.75" customHeight="1">
      <c r="A46" s="14">
        <v>45625.0</v>
      </c>
      <c r="B46" s="8" t="str">
        <f t="shared" si="1"/>
        <v>Nov-24</v>
      </c>
      <c r="C46" s="13">
        <v>72.0</v>
      </c>
      <c r="D46" s="12" t="s">
        <v>11</v>
      </c>
      <c r="E46" s="13">
        <v>141.0</v>
      </c>
      <c r="F46" s="13">
        <v>1.0</v>
      </c>
      <c r="G46" s="8">
        <f t="shared" si="2"/>
        <v>142</v>
      </c>
      <c r="H46" s="13" t="s">
        <v>37</v>
      </c>
    </row>
    <row r="47" ht="15.75" customHeight="1">
      <c r="A47" s="14">
        <v>45628.0</v>
      </c>
      <c r="B47" s="8" t="str">
        <f t="shared" si="1"/>
        <v>Dec-24</v>
      </c>
      <c r="D47" s="12" t="s">
        <v>11</v>
      </c>
      <c r="E47" s="13">
        <v>318.0</v>
      </c>
      <c r="F47" s="13">
        <v>37.0</v>
      </c>
      <c r="G47" s="8">
        <f t="shared" si="2"/>
        <v>355</v>
      </c>
      <c r="H47" s="13" t="s">
        <v>58</v>
      </c>
    </row>
    <row r="48" ht="15.75" hidden="1" customHeight="1">
      <c r="A48" s="14">
        <v>45628.0</v>
      </c>
      <c r="B48" s="8" t="str">
        <f t="shared" si="1"/>
        <v>Dec-24</v>
      </c>
      <c r="D48" s="12" t="s">
        <v>14</v>
      </c>
      <c r="E48" s="13">
        <v>160.0</v>
      </c>
      <c r="F48" s="13">
        <v>4.0</v>
      </c>
      <c r="G48" s="8">
        <f t="shared" si="2"/>
        <v>164</v>
      </c>
      <c r="H48" s="13" t="s">
        <v>46</v>
      </c>
    </row>
    <row r="49" ht="15.75" hidden="1" customHeight="1">
      <c r="A49" s="14">
        <v>45630.0</v>
      </c>
      <c r="B49" s="8" t="str">
        <f t="shared" si="1"/>
        <v>Dec-24</v>
      </c>
      <c r="D49" s="12" t="s">
        <v>14</v>
      </c>
      <c r="E49" s="13">
        <v>300.0</v>
      </c>
      <c r="F49" s="13">
        <v>20.0</v>
      </c>
      <c r="G49" s="8">
        <f t="shared" si="2"/>
        <v>320</v>
      </c>
      <c r="H49" s="13" t="s">
        <v>58</v>
      </c>
    </row>
    <row r="50" ht="15.75" hidden="1" customHeight="1">
      <c r="A50" s="14">
        <v>45631.0</v>
      </c>
      <c r="B50" s="8" t="str">
        <f t="shared" si="1"/>
        <v>Dec-24</v>
      </c>
      <c r="D50" s="12" t="s">
        <v>14</v>
      </c>
      <c r="E50" s="13">
        <v>370.0</v>
      </c>
      <c r="F50" s="13">
        <v>10.0</v>
      </c>
      <c r="G50" s="8">
        <f t="shared" si="2"/>
        <v>380</v>
      </c>
      <c r="H50" s="13" t="s">
        <v>59</v>
      </c>
    </row>
    <row r="51" ht="15.75" hidden="1" customHeight="1">
      <c r="A51" s="14">
        <v>45631.0</v>
      </c>
      <c r="B51" s="8" t="str">
        <f t="shared" si="1"/>
        <v>Dec-24</v>
      </c>
      <c r="D51" s="12" t="s">
        <v>14</v>
      </c>
      <c r="E51" s="13">
        <v>349.0</v>
      </c>
      <c r="F51" s="13">
        <v>8.0</v>
      </c>
      <c r="G51" s="8">
        <f t="shared" si="2"/>
        <v>357</v>
      </c>
      <c r="H51" s="13" t="s">
        <v>46</v>
      </c>
    </row>
    <row r="52" ht="15.75" customHeight="1">
      <c r="A52" s="14">
        <v>45632.0</v>
      </c>
      <c r="B52" s="8" t="str">
        <f t="shared" si="1"/>
        <v>Dec-24</v>
      </c>
      <c r="D52" s="12" t="s">
        <v>11</v>
      </c>
      <c r="E52" s="13">
        <v>157.0</v>
      </c>
      <c r="F52" s="13">
        <v>7.0</v>
      </c>
      <c r="G52" s="8">
        <f t="shared" si="2"/>
        <v>164</v>
      </c>
      <c r="H52" s="13" t="s">
        <v>59</v>
      </c>
    </row>
    <row r="53" ht="15.75" hidden="1" customHeight="1">
      <c r="A53" s="14">
        <v>45632.0</v>
      </c>
      <c r="B53" s="8" t="str">
        <f t="shared" si="1"/>
        <v>Dec-24</v>
      </c>
      <c r="D53" s="12" t="s">
        <v>17</v>
      </c>
      <c r="E53" s="13">
        <v>360.0</v>
      </c>
      <c r="F53" s="13">
        <v>3.0</v>
      </c>
      <c r="G53" s="8">
        <f t="shared" si="2"/>
        <v>363</v>
      </c>
      <c r="H53" s="13" t="s">
        <v>59</v>
      </c>
    </row>
    <row r="54" ht="15.75" hidden="1" customHeight="1">
      <c r="A54" s="14">
        <v>45632.0</v>
      </c>
      <c r="B54" s="8" t="str">
        <f t="shared" si="1"/>
        <v>Dec-24</v>
      </c>
      <c r="D54" s="12" t="s">
        <v>17</v>
      </c>
      <c r="E54" s="13">
        <v>550.0</v>
      </c>
      <c r="F54" s="13">
        <v>12.0</v>
      </c>
      <c r="G54" s="8">
        <f t="shared" si="2"/>
        <v>562</v>
      </c>
      <c r="H54" s="13" t="s">
        <v>46</v>
      </c>
    </row>
    <row r="55" ht="15.75" hidden="1" customHeight="1">
      <c r="A55" s="14">
        <v>45632.0</v>
      </c>
      <c r="B55" s="8" t="str">
        <f t="shared" si="1"/>
        <v>Dec-24</v>
      </c>
      <c r="D55" s="12" t="s">
        <v>14</v>
      </c>
      <c r="E55" s="13">
        <v>20.0</v>
      </c>
      <c r="G55" s="8">
        <f t="shared" si="2"/>
        <v>20</v>
      </c>
      <c r="H55" s="13" t="s">
        <v>46</v>
      </c>
    </row>
    <row r="56" ht="15.75" hidden="1" customHeight="1">
      <c r="A56" s="14">
        <v>45633.0</v>
      </c>
      <c r="B56" s="8" t="str">
        <f t="shared" si="1"/>
        <v>Dec-24</v>
      </c>
      <c r="D56" s="12" t="s">
        <v>14</v>
      </c>
      <c r="E56" s="13">
        <v>142.0</v>
      </c>
      <c r="F56" s="13">
        <v>9.0</v>
      </c>
      <c r="G56" s="8">
        <f t="shared" si="2"/>
        <v>151</v>
      </c>
      <c r="H56" s="13" t="s">
        <v>46</v>
      </c>
    </row>
    <row r="57" ht="15.75" hidden="1" customHeight="1">
      <c r="A57" s="14">
        <v>45633.0</v>
      </c>
      <c r="B57" s="8" t="str">
        <f t="shared" si="1"/>
        <v>Dec-24</v>
      </c>
      <c r="D57" s="12" t="s">
        <v>15</v>
      </c>
      <c r="E57" s="13">
        <v>104.0</v>
      </c>
      <c r="G57" s="8">
        <f t="shared" si="2"/>
        <v>104</v>
      </c>
      <c r="H57" s="13" t="s">
        <v>58</v>
      </c>
    </row>
    <row r="58" ht="15.75" hidden="1" customHeight="1">
      <c r="A58" s="14">
        <v>45633.0</v>
      </c>
      <c r="B58" s="8" t="str">
        <f t="shared" si="1"/>
        <v>Dec-24</v>
      </c>
      <c r="D58" s="12" t="s">
        <v>24</v>
      </c>
      <c r="E58" s="13">
        <v>70.0</v>
      </c>
      <c r="F58" s="13">
        <v>2.0</v>
      </c>
      <c r="G58" s="8">
        <f t="shared" si="2"/>
        <v>72</v>
      </c>
      <c r="H58" s="13" t="s">
        <v>58</v>
      </c>
    </row>
    <row r="59" ht="15.75" hidden="1" customHeight="1">
      <c r="A59" s="14">
        <v>45633.0</v>
      </c>
      <c r="B59" s="8" t="str">
        <f t="shared" si="1"/>
        <v>Dec-24</v>
      </c>
      <c r="D59" s="12" t="s">
        <v>31</v>
      </c>
      <c r="E59" s="13">
        <v>196.0</v>
      </c>
      <c r="F59" s="13">
        <v>7.0</v>
      </c>
      <c r="G59" s="8">
        <f t="shared" si="2"/>
        <v>203</v>
      </c>
      <c r="H59" s="13" t="s">
        <v>58</v>
      </c>
    </row>
    <row r="60" ht="15.75" hidden="1" customHeight="1">
      <c r="A60" s="14">
        <v>45638.0</v>
      </c>
      <c r="B60" s="8" t="str">
        <f t="shared" si="1"/>
        <v>Dec-24</v>
      </c>
      <c r="D60" s="12" t="s">
        <v>14</v>
      </c>
      <c r="E60" s="13">
        <v>255.0</v>
      </c>
      <c r="F60" s="13">
        <v>21.0</v>
      </c>
      <c r="G60" s="8">
        <f t="shared" si="2"/>
        <v>276</v>
      </c>
      <c r="H60" s="13" t="s">
        <v>53</v>
      </c>
    </row>
    <row r="61" ht="15.75" hidden="1" customHeight="1">
      <c r="A61" s="14">
        <v>45638.0</v>
      </c>
      <c r="B61" s="8" t="str">
        <f t="shared" si="1"/>
        <v>Dec-24</v>
      </c>
      <c r="D61" s="12" t="s">
        <v>14</v>
      </c>
      <c r="E61" s="13">
        <v>365.0</v>
      </c>
      <c r="F61" s="13">
        <v>13.0</v>
      </c>
      <c r="G61" s="8">
        <f t="shared" si="2"/>
        <v>378</v>
      </c>
      <c r="H61" s="13" t="s">
        <v>22</v>
      </c>
    </row>
    <row r="62" ht="15.75" hidden="1" customHeight="1">
      <c r="A62" s="14">
        <v>45639.0</v>
      </c>
      <c r="B62" s="8" t="str">
        <f t="shared" si="1"/>
        <v>Dec-24</v>
      </c>
      <c r="D62" s="12" t="s">
        <v>14</v>
      </c>
      <c r="E62" s="13">
        <v>363.0</v>
      </c>
      <c r="F62" s="13">
        <v>17.0</v>
      </c>
      <c r="G62" s="8">
        <f t="shared" si="2"/>
        <v>380</v>
      </c>
      <c r="H62" s="13" t="s">
        <v>46</v>
      </c>
    </row>
    <row r="63" ht="15.75" hidden="1" customHeight="1">
      <c r="A63" s="14">
        <v>45640.0</v>
      </c>
      <c r="B63" s="8" t="str">
        <f t="shared" si="1"/>
        <v>Dec-24</v>
      </c>
      <c r="D63" s="12" t="s">
        <v>14</v>
      </c>
      <c r="E63" s="13">
        <v>286.0</v>
      </c>
      <c r="F63" s="13">
        <v>15.0</v>
      </c>
      <c r="G63" s="8">
        <f t="shared" si="2"/>
        <v>301</v>
      </c>
      <c r="H63" s="13" t="s">
        <v>59</v>
      </c>
    </row>
    <row r="64" ht="15.75" hidden="1" customHeight="1">
      <c r="A64" s="14">
        <v>45640.0</v>
      </c>
      <c r="B64" s="8" t="str">
        <f t="shared" si="1"/>
        <v>Dec-24</v>
      </c>
      <c r="D64" s="12" t="s">
        <v>14</v>
      </c>
      <c r="E64" s="13">
        <v>150.0</v>
      </c>
      <c r="F64" s="13">
        <v>15.0</v>
      </c>
      <c r="G64" s="8">
        <f t="shared" si="2"/>
        <v>165</v>
      </c>
      <c r="H64" s="13" t="s">
        <v>53</v>
      </c>
    </row>
    <row r="65" ht="15.75" customHeight="1">
      <c r="A65" s="14">
        <v>45642.0</v>
      </c>
      <c r="B65" s="8" t="str">
        <f t="shared" si="1"/>
        <v>Dec-24</v>
      </c>
      <c r="D65" s="12" t="s">
        <v>11</v>
      </c>
      <c r="E65" s="13">
        <v>256.0</v>
      </c>
      <c r="F65" s="13">
        <v>6.0</v>
      </c>
      <c r="G65" s="8">
        <f t="shared" si="2"/>
        <v>262</v>
      </c>
      <c r="H65" s="13" t="s">
        <v>58</v>
      </c>
    </row>
    <row r="66" ht="15.75" hidden="1" customHeight="1">
      <c r="A66" s="14">
        <v>45642.0</v>
      </c>
      <c r="B66" s="8" t="str">
        <f t="shared" si="1"/>
        <v>Dec-24</v>
      </c>
      <c r="C66" s="13">
        <v>74.0</v>
      </c>
      <c r="D66" s="12" t="s">
        <v>17</v>
      </c>
      <c r="E66" s="13">
        <v>74.0</v>
      </c>
      <c r="F66" s="13">
        <v>17.0</v>
      </c>
      <c r="G66" s="8">
        <f t="shared" si="2"/>
        <v>91</v>
      </c>
      <c r="H66" s="13" t="s">
        <v>58</v>
      </c>
    </row>
    <row r="67" ht="15.75" hidden="1" customHeight="1">
      <c r="A67" s="14">
        <v>45646.0</v>
      </c>
      <c r="B67" s="8" t="str">
        <f t="shared" si="1"/>
        <v>Dec-24</v>
      </c>
      <c r="D67" s="12" t="s">
        <v>14</v>
      </c>
      <c r="E67" s="13">
        <v>224.0</v>
      </c>
      <c r="F67" s="13">
        <v>35.0</v>
      </c>
      <c r="G67" s="8">
        <f t="shared" si="2"/>
        <v>259</v>
      </c>
      <c r="H67" s="13" t="s">
        <v>58</v>
      </c>
    </row>
    <row r="68" ht="15.75" hidden="1" customHeight="1">
      <c r="A68" s="14">
        <v>45650.0</v>
      </c>
      <c r="B68" s="8" t="str">
        <f t="shared" si="1"/>
        <v>Dec-24</v>
      </c>
      <c r="D68" s="12" t="s">
        <v>17</v>
      </c>
      <c r="E68" s="13">
        <v>506.0</v>
      </c>
      <c r="F68" s="13">
        <v>3.0</v>
      </c>
      <c r="G68" s="8">
        <f t="shared" si="2"/>
        <v>509</v>
      </c>
      <c r="H68" s="13" t="s">
        <v>58</v>
      </c>
    </row>
    <row r="69" ht="15.75" hidden="1" customHeight="1">
      <c r="A69" s="14">
        <v>45652.0</v>
      </c>
      <c r="B69" s="8" t="str">
        <f t="shared" si="1"/>
        <v>Dec-24</v>
      </c>
      <c r="D69" s="12" t="s">
        <v>14</v>
      </c>
      <c r="E69" s="13">
        <v>161.0</v>
      </c>
      <c r="F69" s="13">
        <v>11.0</v>
      </c>
      <c r="G69" s="8">
        <f t="shared" si="2"/>
        <v>172</v>
      </c>
      <c r="H69" s="13" t="s">
        <v>59</v>
      </c>
    </row>
    <row r="70" ht="15.75" hidden="1" customHeight="1">
      <c r="A70" s="14">
        <v>45652.0</v>
      </c>
      <c r="B70" s="8" t="str">
        <f t="shared" si="1"/>
        <v>Dec-24</v>
      </c>
      <c r="D70" s="12" t="s">
        <v>31</v>
      </c>
      <c r="E70" s="13">
        <v>95.0</v>
      </c>
      <c r="F70" s="13">
        <v>7.0</v>
      </c>
      <c r="G70" s="8">
        <f t="shared" si="2"/>
        <v>102</v>
      </c>
      <c r="H70" s="13" t="s">
        <v>59</v>
      </c>
    </row>
    <row r="71" ht="15.75" hidden="1" customHeight="1">
      <c r="A71" s="14">
        <v>45652.0</v>
      </c>
      <c r="B71" s="8" t="str">
        <f t="shared" si="1"/>
        <v>Dec-24</v>
      </c>
      <c r="D71" s="12" t="s">
        <v>24</v>
      </c>
      <c r="E71" s="13">
        <v>52.0</v>
      </c>
      <c r="F71" s="13">
        <v>1.0</v>
      </c>
      <c r="G71" s="8">
        <f t="shared" si="2"/>
        <v>53</v>
      </c>
      <c r="H71" s="13" t="s">
        <v>59</v>
      </c>
    </row>
    <row r="72" ht="15.75" hidden="1" customHeight="1">
      <c r="A72" s="14">
        <v>45652.0</v>
      </c>
      <c r="B72" s="8" t="str">
        <f t="shared" si="1"/>
        <v>Dec-24</v>
      </c>
      <c r="D72" s="12" t="s">
        <v>15</v>
      </c>
      <c r="E72" s="13">
        <v>42.0</v>
      </c>
      <c r="F72" s="13">
        <v>4.0</v>
      </c>
      <c r="G72" s="8">
        <f t="shared" si="2"/>
        <v>46</v>
      </c>
      <c r="H72" s="13" t="s">
        <v>59</v>
      </c>
    </row>
    <row r="73" ht="15.75" hidden="1" customHeight="1">
      <c r="A73" s="14">
        <v>45652.0</v>
      </c>
      <c r="B73" s="8" t="str">
        <f t="shared" si="1"/>
        <v>Dec-24</v>
      </c>
      <c r="D73" s="12" t="s">
        <v>17</v>
      </c>
      <c r="E73" s="13">
        <v>540.0</v>
      </c>
      <c r="F73" s="13">
        <v>3.0</v>
      </c>
      <c r="G73" s="8">
        <f t="shared" si="2"/>
        <v>543</v>
      </c>
      <c r="H73" s="13" t="s">
        <v>58</v>
      </c>
    </row>
    <row r="74" ht="15.75" customHeight="1">
      <c r="A74" s="14">
        <v>45652.0</v>
      </c>
      <c r="B74" s="8" t="str">
        <f t="shared" si="1"/>
        <v>Dec-24</v>
      </c>
      <c r="D74" s="12" t="s">
        <v>11</v>
      </c>
      <c r="E74" s="13">
        <v>30.0</v>
      </c>
      <c r="G74" s="8">
        <f t="shared" si="2"/>
        <v>30</v>
      </c>
      <c r="H74" s="13" t="s">
        <v>58</v>
      </c>
    </row>
    <row r="75" ht="15.75" customHeight="1">
      <c r="A75" s="14">
        <v>45653.0</v>
      </c>
      <c r="B75" s="8" t="str">
        <f t="shared" si="1"/>
        <v>Dec-24</v>
      </c>
      <c r="D75" s="12" t="s">
        <v>11</v>
      </c>
      <c r="E75" s="13">
        <v>275.0</v>
      </c>
      <c r="F75" s="13">
        <v>30.0</v>
      </c>
      <c r="G75" s="8">
        <f t="shared" si="2"/>
        <v>305</v>
      </c>
      <c r="H75" s="13" t="s">
        <v>58</v>
      </c>
    </row>
    <row r="76" ht="15.75" hidden="1" customHeight="1">
      <c r="A76" s="14">
        <v>45653.0</v>
      </c>
      <c r="B76" s="8" t="str">
        <f t="shared" si="1"/>
        <v>Dec-24</v>
      </c>
      <c r="D76" s="12" t="s">
        <v>17</v>
      </c>
      <c r="E76" s="13">
        <v>137.0</v>
      </c>
      <c r="F76" s="13">
        <v>2.0</v>
      </c>
      <c r="G76" s="8">
        <f t="shared" si="2"/>
        <v>139</v>
      </c>
      <c r="H76" s="13" t="s">
        <v>58</v>
      </c>
    </row>
    <row r="77" ht="15.75" hidden="1" customHeight="1">
      <c r="A77" s="14">
        <v>45653.0</v>
      </c>
      <c r="B77" s="8" t="str">
        <f t="shared" si="1"/>
        <v>Dec-24</v>
      </c>
      <c r="D77" s="12" t="s">
        <v>17</v>
      </c>
      <c r="E77" s="13">
        <v>264.0</v>
      </c>
      <c r="F77" s="13">
        <v>6.0</v>
      </c>
      <c r="G77" s="8">
        <f t="shared" si="2"/>
        <v>270</v>
      </c>
      <c r="H77" s="13" t="s">
        <v>59</v>
      </c>
    </row>
    <row r="78" ht="15.75" hidden="1" customHeight="1">
      <c r="A78" s="14">
        <v>45654.0</v>
      </c>
      <c r="B78" s="8" t="str">
        <f t="shared" si="1"/>
        <v>Dec-24</v>
      </c>
      <c r="D78" s="12" t="s">
        <v>31</v>
      </c>
      <c r="E78" s="13">
        <v>250.0</v>
      </c>
      <c r="F78" s="13">
        <v>12.0</v>
      </c>
      <c r="G78" s="8">
        <f t="shared" si="2"/>
        <v>262</v>
      </c>
      <c r="H78" s="13" t="s">
        <v>59</v>
      </c>
    </row>
    <row r="79" ht="15.75" hidden="1" customHeight="1">
      <c r="A79" s="14">
        <v>45654.0</v>
      </c>
      <c r="B79" s="8" t="str">
        <f t="shared" si="1"/>
        <v>Dec-24</v>
      </c>
      <c r="D79" s="12" t="s">
        <v>31</v>
      </c>
      <c r="E79" s="13">
        <v>245.0</v>
      </c>
      <c r="F79" s="13">
        <v>10.0</v>
      </c>
      <c r="G79" s="8">
        <f t="shared" si="2"/>
        <v>255</v>
      </c>
      <c r="H79" s="13" t="s">
        <v>58</v>
      </c>
    </row>
    <row r="80" ht="15.75" hidden="1" customHeight="1">
      <c r="A80" s="14">
        <v>45657.0</v>
      </c>
      <c r="B80" s="8" t="str">
        <f t="shared" si="1"/>
        <v>Dec-24</v>
      </c>
      <c r="D80" s="12" t="s">
        <v>14</v>
      </c>
      <c r="E80" s="13">
        <v>183.0</v>
      </c>
      <c r="F80" s="13">
        <v>10.0</v>
      </c>
      <c r="G80" s="8">
        <f t="shared" si="2"/>
        <v>193</v>
      </c>
      <c r="H80" s="13" t="s">
        <v>58</v>
      </c>
    </row>
    <row r="81" ht="15.75" hidden="1" customHeight="1">
      <c r="A81" s="14">
        <v>45657.0</v>
      </c>
      <c r="B81" s="8" t="str">
        <f t="shared" si="1"/>
        <v>Dec-24</v>
      </c>
      <c r="D81" s="12" t="s">
        <v>14</v>
      </c>
      <c r="E81" s="13">
        <v>77.0</v>
      </c>
      <c r="F81" s="13">
        <v>9.0</v>
      </c>
      <c r="G81" s="8">
        <f t="shared" si="2"/>
        <v>86</v>
      </c>
      <c r="H81" s="13" t="s">
        <v>58</v>
      </c>
    </row>
    <row r="82" ht="15.75" customHeight="1">
      <c r="A82" s="14">
        <v>45657.0</v>
      </c>
      <c r="B82" s="8" t="str">
        <f t="shared" si="1"/>
        <v>Dec-24</v>
      </c>
      <c r="D82" s="12" t="s">
        <v>11</v>
      </c>
      <c r="E82" s="13">
        <v>15.0</v>
      </c>
      <c r="G82" s="8">
        <f t="shared" si="2"/>
        <v>15</v>
      </c>
      <c r="H82" s="13" t="s">
        <v>58</v>
      </c>
    </row>
    <row r="83" ht="15.75" customHeight="1">
      <c r="A83" s="14">
        <v>45659.0</v>
      </c>
      <c r="B83" s="8" t="str">
        <f t="shared" si="1"/>
        <v>Jan-25</v>
      </c>
      <c r="C83" s="13" t="s">
        <v>40</v>
      </c>
      <c r="D83" s="12" t="s">
        <v>11</v>
      </c>
      <c r="E83" s="13">
        <v>454.0</v>
      </c>
      <c r="F83" s="13">
        <v>12.0</v>
      </c>
      <c r="G83" s="8">
        <f t="shared" si="2"/>
        <v>466</v>
      </c>
      <c r="H83" s="13" t="s">
        <v>58</v>
      </c>
    </row>
    <row r="84" ht="15.75" customHeight="1">
      <c r="A84" s="14">
        <v>45660.0</v>
      </c>
      <c r="B84" s="8" t="str">
        <f t="shared" si="1"/>
        <v>Jan-25</v>
      </c>
      <c r="C84" s="13" t="s">
        <v>40</v>
      </c>
      <c r="D84" s="12" t="s">
        <v>11</v>
      </c>
      <c r="E84" s="13">
        <v>440.0</v>
      </c>
      <c r="F84" s="13">
        <v>11.0</v>
      </c>
      <c r="G84" s="8">
        <f t="shared" si="2"/>
        <v>451</v>
      </c>
      <c r="H84" s="13" t="s">
        <v>58</v>
      </c>
    </row>
    <row r="85" ht="15.75" hidden="1" customHeight="1">
      <c r="A85" s="14">
        <v>45661.0</v>
      </c>
      <c r="B85" s="8" t="str">
        <f t="shared" si="1"/>
        <v>Jan-25</v>
      </c>
      <c r="D85" s="12" t="s">
        <v>14</v>
      </c>
      <c r="E85" s="13">
        <v>160.0</v>
      </c>
      <c r="G85" s="8">
        <f t="shared" si="2"/>
        <v>160</v>
      </c>
      <c r="H85" s="13" t="s">
        <v>59</v>
      </c>
    </row>
    <row r="86" ht="15.75" hidden="1" customHeight="1">
      <c r="A86" s="14">
        <v>45661.0</v>
      </c>
      <c r="B86" s="8" t="str">
        <f t="shared" si="1"/>
        <v>Jan-25</v>
      </c>
      <c r="D86" s="12" t="s">
        <v>17</v>
      </c>
      <c r="E86" s="13">
        <v>376.0</v>
      </c>
      <c r="G86" s="8">
        <f t="shared" si="2"/>
        <v>376</v>
      </c>
      <c r="H86" s="13" t="s">
        <v>58</v>
      </c>
    </row>
    <row r="87" ht="15.75" customHeight="1">
      <c r="A87" s="14">
        <v>45661.0</v>
      </c>
      <c r="B87" s="8" t="str">
        <f t="shared" si="1"/>
        <v>Jan-25</v>
      </c>
      <c r="D87" s="12" t="s">
        <v>11</v>
      </c>
      <c r="E87" s="13">
        <v>83.0</v>
      </c>
      <c r="F87" s="13">
        <v>5.0</v>
      </c>
      <c r="G87" s="8">
        <f t="shared" si="2"/>
        <v>88</v>
      </c>
      <c r="H87" s="13" t="s">
        <v>58</v>
      </c>
    </row>
    <row r="88" ht="15.75" hidden="1" customHeight="1">
      <c r="A88" s="14">
        <v>45663.0</v>
      </c>
      <c r="B88" s="8" t="str">
        <f t="shared" si="1"/>
        <v>Jan-25</v>
      </c>
      <c r="D88" s="12" t="s">
        <v>14</v>
      </c>
      <c r="E88" s="13">
        <v>352.0</v>
      </c>
      <c r="F88" s="13">
        <v>24.0</v>
      </c>
      <c r="G88" s="8">
        <f t="shared" si="2"/>
        <v>376</v>
      </c>
      <c r="H88" s="13" t="s">
        <v>59</v>
      </c>
    </row>
    <row r="89" ht="15.75" hidden="1" customHeight="1">
      <c r="A89" s="14">
        <v>45663.0</v>
      </c>
      <c r="B89" s="8" t="str">
        <f t="shared" si="1"/>
        <v>Jan-25</v>
      </c>
      <c r="D89" s="12" t="s">
        <v>14</v>
      </c>
      <c r="E89" s="13">
        <v>371.0</v>
      </c>
      <c r="F89" s="13">
        <v>27.0</v>
      </c>
      <c r="G89" s="8">
        <f t="shared" si="2"/>
        <v>398</v>
      </c>
      <c r="H89" s="13" t="s">
        <v>46</v>
      </c>
    </row>
    <row r="90" ht="15.75" customHeight="1">
      <c r="A90" s="14">
        <v>45664.0</v>
      </c>
      <c r="B90" s="8" t="str">
        <f t="shared" si="1"/>
        <v>Jan-25</v>
      </c>
      <c r="D90" s="12" t="s">
        <v>11</v>
      </c>
      <c r="E90" s="13">
        <v>246.0</v>
      </c>
      <c r="F90" s="13">
        <v>28.0</v>
      </c>
      <c r="G90" s="8">
        <f t="shared" si="2"/>
        <v>274</v>
      </c>
      <c r="H90" s="13" t="s">
        <v>58</v>
      </c>
    </row>
    <row r="91" ht="15.75" hidden="1" customHeight="1">
      <c r="A91" s="14">
        <v>45664.0</v>
      </c>
      <c r="B91" s="8" t="str">
        <f t="shared" si="1"/>
        <v>Jan-25</v>
      </c>
      <c r="D91" s="12" t="s">
        <v>17</v>
      </c>
      <c r="E91" s="13">
        <v>182.0</v>
      </c>
      <c r="F91" s="13">
        <v>10.0</v>
      </c>
      <c r="G91" s="8">
        <f t="shared" si="2"/>
        <v>192</v>
      </c>
      <c r="H91" s="13" t="s">
        <v>58</v>
      </c>
    </row>
    <row r="92" ht="15.75" hidden="1" customHeight="1">
      <c r="A92" s="14">
        <v>45664.0</v>
      </c>
      <c r="B92" s="8" t="str">
        <f t="shared" si="1"/>
        <v>Jan-25</v>
      </c>
      <c r="D92" s="12" t="s">
        <v>14</v>
      </c>
      <c r="E92" s="13">
        <v>185.0</v>
      </c>
      <c r="F92" s="13">
        <v>6.0</v>
      </c>
      <c r="G92" s="8">
        <f t="shared" si="2"/>
        <v>191</v>
      </c>
      <c r="H92" s="13" t="s">
        <v>59</v>
      </c>
    </row>
    <row r="93" ht="15.75" hidden="1" customHeight="1">
      <c r="A93" s="14">
        <v>45664.0</v>
      </c>
      <c r="B93" s="8" t="str">
        <f t="shared" si="1"/>
        <v>Jan-25</v>
      </c>
      <c r="D93" s="12" t="s">
        <v>17</v>
      </c>
      <c r="E93" s="13">
        <v>230.0</v>
      </c>
      <c r="F93" s="13">
        <v>7.0</v>
      </c>
      <c r="G93" s="8">
        <f t="shared" si="2"/>
        <v>237</v>
      </c>
      <c r="H93" s="13" t="s">
        <v>59</v>
      </c>
    </row>
    <row r="94" ht="15.75" hidden="1" customHeight="1">
      <c r="A94" s="14">
        <v>45665.0</v>
      </c>
      <c r="B94" s="8" t="str">
        <f t="shared" si="1"/>
        <v>Jan-25</v>
      </c>
      <c r="D94" s="12" t="s">
        <v>15</v>
      </c>
      <c r="E94" s="13">
        <v>108.0</v>
      </c>
      <c r="F94" s="13">
        <v>2.0</v>
      </c>
      <c r="G94" s="8">
        <f t="shared" si="2"/>
        <v>110</v>
      </c>
      <c r="H94" s="13" t="s">
        <v>58</v>
      </c>
    </row>
    <row r="95" ht="15.75" hidden="1" customHeight="1">
      <c r="A95" s="14">
        <v>45665.0</v>
      </c>
      <c r="B95" s="8" t="str">
        <f t="shared" si="1"/>
        <v>Jan-25</v>
      </c>
      <c r="D95" s="12" t="s">
        <v>24</v>
      </c>
      <c r="E95" s="13">
        <v>125.0</v>
      </c>
      <c r="F95" s="13">
        <v>1.0</v>
      </c>
      <c r="G95" s="8">
        <f t="shared" si="2"/>
        <v>126</v>
      </c>
      <c r="H95" s="13" t="s">
        <v>58</v>
      </c>
    </row>
    <row r="96" ht="15.75" hidden="1" customHeight="1">
      <c r="A96" s="14">
        <v>45667.0</v>
      </c>
      <c r="B96" s="8" t="str">
        <f t="shared" si="1"/>
        <v>Jan-25</v>
      </c>
      <c r="D96" s="12" t="s">
        <v>14</v>
      </c>
      <c r="E96" s="13">
        <v>119.0</v>
      </c>
      <c r="G96" s="8">
        <f t="shared" si="2"/>
        <v>119</v>
      </c>
      <c r="H96" s="13" t="s">
        <v>22</v>
      </c>
    </row>
    <row r="97" ht="15.75" hidden="1" customHeight="1">
      <c r="A97" s="14">
        <v>45667.0</v>
      </c>
      <c r="B97" s="8" t="str">
        <f t="shared" si="1"/>
        <v>Jan-25</v>
      </c>
      <c r="D97" s="12" t="s">
        <v>14</v>
      </c>
      <c r="E97" s="13">
        <v>136.0</v>
      </c>
      <c r="F97" s="13">
        <v>11.0</v>
      </c>
      <c r="G97" s="8">
        <f t="shared" si="2"/>
        <v>147</v>
      </c>
      <c r="H97" s="13" t="s">
        <v>22</v>
      </c>
    </row>
    <row r="98" ht="15.75" hidden="1" customHeight="1">
      <c r="A98" s="14">
        <v>45668.0</v>
      </c>
      <c r="B98" s="8" t="str">
        <f t="shared" si="1"/>
        <v>Jan-25</v>
      </c>
      <c r="D98" s="12" t="s">
        <v>31</v>
      </c>
      <c r="E98" s="13">
        <v>247.0</v>
      </c>
      <c r="G98" s="8">
        <f t="shared" si="2"/>
        <v>247</v>
      </c>
      <c r="H98" s="13" t="s">
        <v>22</v>
      </c>
    </row>
    <row r="99" ht="15.75" hidden="1" customHeight="1">
      <c r="A99" s="14">
        <v>45668.0</v>
      </c>
      <c r="B99" s="8" t="str">
        <f t="shared" si="1"/>
        <v>Jan-25</v>
      </c>
      <c r="D99" s="12" t="s">
        <v>15</v>
      </c>
      <c r="E99" s="13">
        <v>59.0</v>
      </c>
      <c r="F99" s="13">
        <v>8.0</v>
      </c>
      <c r="G99" s="8">
        <f t="shared" si="2"/>
        <v>67</v>
      </c>
      <c r="H99" s="13" t="s">
        <v>22</v>
      </c>
    </row>
    <row r="100" ht="15.75" customHeight="1">
      <c r="A100" s="14">
        <v>45670.0</v>
      </c>
      <c r="B100" s="8" t="str">
        <f t="shared" si="1"/>
        <v>Jan-25</v>
      </c>
      <c r="D100" s="12" t="s">
        <v>11</v>
      </c>
      <c r="E100" s="13">
        <v>46.0</v>
      </c>
      <c r="F100" s="13">
        <v>10.0</v>
      </c>
      <c r="G100" s="8">
        <f t="shared" si="2"/>
        <v>56</v>
      </c>
      <c r="H100" s="13" t="s">
        <v>22</v>
      </c>
    </row>
    <row r="101" ht="15.75" hidden="1" customHeight="1">
      <c r="A101" s="14">
        <v>45670.0</v>
      </c>
      <c r="B101" s="8" t="str">
        <f t="shared" si="1"/>
        <v>Jan-25</v>
      </c>
      <c r="D101" s="12" t="s">
        <v>17</v>
      </c>
      <c r="E101" s="13">
        <v>320.0</v>
      </c>
      <c r="F101" s="13">
        <v>11.0</v>
      </c>
      <c r="G101" s="8">
        <f t="shared" si="2"/>
        <v>331</v>
      </c>
      <c r="H101" s="13" t="s">
        <v>22</v>
      </c>
      <c r="I101" s="13" t="s">
        <v>139</v>
      </c>
    </row>
    <row r="102" ht="15.75" hidden="1" customHeight="1">
      <c r="A102" s="14">
        <v>45670.0</v>
      </c>
      <c r="B102" s="8" t="str">
        <f t="shared" si="1"/>
        <v>Jan-25</v>
      </c>
      <c r="D102" s="12" t="s">
        <v>17</v>
      </c>
      <c r="E102" s="13">
        <v>58.0</v>
      </c>
      <c r="F102" s="13">
        <v>2.0</v>
      </c>
      <c r="H102" s="13" t="s">
        <v>22</v>
      </c>
      <c r="I102" s="13" t="s">
        <v>140</v>
      </c>
    </row>
    <row r="103" ht="15.75" hidden="1" customHeight="1">
      <c r="A103" s="14">
        <v>45671.0</v>
      </c>
      <c r="B103" s="8" t="str">
        <f t="shared" si="1"/>
        <v>Jan-25</v>
      </c>
      <c r="D103" s="12" t="s">
        <v>15</v>
      </c>
      <c r="E103" s="13">
        <v>210.0</v>
      </c>
      <c r="F103" s="13">
        <v>8.0</v>
      </c>
      <c r="H103" s="13" t="s">
        <v>22</v>
      </c>
    </row>
    <row r="104" ht="15.75" hidden="1" customHeight="1">
      <c r="A104" s="14">
        <v>45671.0</v>
      </c>
      <c r="B104" s="8" t="str">
        <f t="shared" si="1"/>
        <v>Jan-25</v>
      </c>
      <c r="D104" s="12" t="s">
        <v>14</v>
      </c>
      <c r="E104" s="13">
        <v>50.0</v>
      </c>
      <c r="F104" s="13">
        <v>2.0</v>
      </c>
      <c r="H104" s="13" t="s">
        <v>46</v>
      </c>
    </row>
    <row r="105" ht="15.75" hidden="1" customHeight="1">
      <c r="A105" s="14">
        <v>45672.0</v>
      </c>
      <c r="B105" s="8" t="str">
        <f t="shared" si="1"/>
        <v>Jan-25</v>
      </c>
      <c r="D105" s="12" t="s">
        <v>15</v>
      </c>
      <c r="E105" s="13">
        <v>117.0</v>
      </c>
      <c r="F105" s="13">
        <v>5.0</v>
      </c>
      <c r="G105" s="8">
        <f t="shared" ref="G105:G163" si="3">SUM(E105:F105)</f>
        <v>122</v>
      </c>
      <c r="H105" s="13" t="s">
        <v>22</v>
      </c>
    </row>
    <row r="106" ht="15.75" hidden="1" customHeight="1">
      <c r="A106" s="14">
        <v>45672.0</v>
      </c>
      <c r="B106" s="8" t="str">
        <f t="shared" si="1"/>
        <v>Jan-25</v>
      </c>
      <c r="D106" s="12" t="s">
        <v>31</v>
      </c>
      <c r="E106" s="13">
        <v>205.0</v>
      </c>
      <c r="F106" s="13">
        <v>3.0</v>
      </c>
      <c r="G106" s="8">
        <f t="shared" si="3"/>
        <v>208</v>
      </c>
      <c r="H106" s="13" t="s">
        <v>22</v>
      </c>
    </row>
    <row r="107" ht="15.75" hidden="1" customHeight="1">
      <c r="A107" s="14">
        <v>45672.0</v>
      </c>
      <c r="B107" s="8" t="str">
        <f t="shared" si="1"/>
        <v>Jan-25</v>
      </c>
      <c r="D107" s="12" t="s">
        <v>14</v>
      </c>
      <c r="E107" s="13">
        <v>310.0</v>
      </c>
      <c r="F107" s="13">
        <v>18.0</v>
      </c>
      <c r="G107" s="8">
        <f t="shared" si="3"/>
        <v>328</v>
      </c>
      <c r="H107" s="13" t="s">
        <v>46</v>
      </c>
    </row>
    <row r="108" ht="15.75" hidden="1" customHeight="1">
      <c r="A108" s="14">
        <v>45673.0</v>
      </c>
      <c r="B108" s="8" t="str">
        <f t="shared" si="1"/>
        <v>Jan-25</v>
      </c>
      <c r="D108" s="12" t="s">
        <v>14</v>
      </c>
      <c r="E108" s="13">
        <v>276.0</v>
      </c>
      <c r="F108" s="13">
        <v>8.0</v>
      </c>
      <c r="G108" s="8">
        <f t="shared" si="3"/>
        <v>284</v>
      </c>
      <c r="H108" s="13" t="s">
        <v>46</v>
      </c>
    </row>
    <row r="109" ht="15.75" customHeight="1">
      <c r="A109" s="14">
        <v>45673.0</v>
      </c>
      <c r="B109" s="8" t="str">
        <f t="shared" si="1"/>
        <v>Jan-25</v>
      </c>
      <c r="D109" s="12" t="s">
        <v>11</v>
      </c>
      <c r="E109" s="13">
        <v>427.0</v>
      </c>
      <c r="F109" s="13">
        <v>22.0</v>
      </c>
      <c r="G109" s="8">
        <f t="shared" si="3"/>
        <v>449</v>
      </c>
      <c r="H109" s="13" t="s">
        <v>22</v>
      </c>
    </row>
    <row r="110" ht="15.75" customHeight="1">
      <c r="A110" s="14">
        <v>45674.0</v>
      </c>
      <c r="B110" s="8" t="str">
        <f t="shared" si="1"/>
        <v>Jan-25</v>
      </c>
      <c r="D110" s="12" t="s">
        <v>11</v>
      </c>
      <c r="E110" s="13">
        <v>139.0</v>
      </c>
      <c r="G110" s="8">
        <f t="shared" si="3"/>
        <v>139</v>
      </c>
      <c r="H110" s="13" t="s">
        <v>22</v>
      </c>
    </row>
    <row r="111" ht="15.75" hidden="1" customHeight="1">
      <c r="A111" s="14">
        <v>45677.0</v>
      </c>
      <c r="B111" s="8" t="str">
        <f t="shared" si="1"/>
        <v>Jan-25</v>
      </c>
      <c r="D111" s="12" t="s">
        <v>14</v>
      </c>
      <c r="E111" s="13">
        <v>115.0</v>
      </c>
      <c r="F111" s="13">
        <v>12.0</v>
      </c>
      <c r="G111" s="8">
        <f t="shared" si="3"/>
        <v>127</v>
      </c>
      <c r="H111" s="13" t="s">
        <v>46</v>
      </c>
    </row>
    <row r="112" ht="15.75" customHeight="1">
      <c r="A112" s="14">
        <v>45677.0</v>
      </c>
      <c r="B112" s="8" t="str">
        <f t="shared" si="1"/>
        <v>Jan-25</v>
      </c>
      <c r="D112" s="12" t="s">
        <v>11</v>
      </c>
      <c r="E112" s="13">
        <v>87.0</v>
      </c>
      <c r="F112" s="13">
        <v>3.0</v>
      </c>
      <c r="G112" s="8">
        <f t="shared" si="3"/>
        <v>90</v>
      </c>
      <c r="H112" s="13" t="s">
        <v>58</v>
      </c>
    </row>
    <row r="113" ht="15.75" hidden="1" customHeight="1">
      <c r="A113" s="14">
        <v>45678.0</v>
      </c>
      <c r="B113" s="8" t="str">
        <f t="shared" si="1"/>
        <v>Jan-25</v>
      </c>
      <c r="D113" s="12" t="s">
        <v>14</v>
      </c>
      <c r="E113" s="13">
        <v>75.0</v>
      </c>
      <c r="F113" s="13">
        <v>8.0</v>
      </c>
      <c r="G113" s="8">
        <f t="shared" si="3"/>
        <v>83</v>
      </c>
      <c r="H113" s="13" t="s">
        <v>46</v>
      </c>
    </row>
    <row r="114" ht="15.75" hidden="1" customHeight="1">
      <c r="A114" s="14">
        <v>45678.0</v>
      </c>
      <c r="B114" s="8" t="str">
        <f t="shared" si="1"/>
        <v>Jan-25</v>
      </c>
      <c r="D114" s="12" t="s">
        <v>15</v>
      </c>
      <c r="E114" s="13">
        <v>61.0</v>
      </c>
      <c r="G114" s="8">
        <f t="shared" si="3"/>
        <v>61</v>
      </c>
      <c r="H114" s="13" t="s">
        <v>58</v>
      </c>
    </row>
    <row r="115" ht="15.75" hidden="1" customHeight="1">
      <c r="A115" s="14">
        <v>45678.0</v>
      </c>
      <c r="B115" s="8" t="str">
        <f t="shared" si="1"/>
        <v>Jan-25</v>
      </c>
      <c r="D115" s="12" t="s">
        <v>31</v>
      </c>
      <c r="E115" s="13">
        <v>64.0</v>
      </c>
      <c r="G115" s="8">
        <f t="shared" si="3"/>
        <v>64</v>
      </c>
      <c r="H115" s="13" t="s">
        <v>58</v>
      </c>
    </row>
    <row r="116" ht="15.75" hidden="1" customHeight="1">
      <c r="A116" s="14">
        <v>45678.0</v>
      </c>
      <c r="B116" s="8" t="str">
        <f t="shared" si="1"/>
        <v>Jan-25</v>
      </c>
      <c r="D116" s="12" t="s">
        <v>24</v>
      </c>
      <c r="E116" s="13">
        <v>9.0</v>
      </c>
      <c r="G116" s="8">
        <f t="shared" si="3"/>
        <v>9</v>
      </c>
      <c r="H116" s="13" t="s">
        <v>58</v>
      </c>
    </row>
    <row r="117" ht="15.75" hidden="1" customHeight="1">
      <c r="A117" s="14">
        <v>45678.0</v>
      </c>
      <c r="B117" s="8" t="str">
        <f t="shared" si="1"/>
        <v>Jan-25</v>
      </c>
      <c r="D117" s="12" t="s">
        <v>14</v>
      </c>
      <c r="E117" s="13">
        <v>43.0</v>
      </c>
      <c r="F117" s="13">
        <v>4.0</v>
      </c>
      <c r="G117" s="8">
        <f t="shared" si="3"/>
        <v>47</v>
      </c>
      <c r="H117" s="13" t="s">
        <v>58</v>
      </c>
    </row>
    <row r="118" ht="15.75" hidden="1" customHeight="1">
      <c r="A118" s="14">
        <v>45679.0</v>
      </c>
      <c r="B118" s="8" t="str">
        <f t="shared" si="1"/>
        <v>Jan-25</v>
      </c>
      <c r="D118" s="12" t="s">
        <v>24</v>
      </c>
      <c r="E118" s="13">
        <v>50.0</v>
      </c>
      <c r="F118" s="13">
        <v>2.0</v>
      </c>
      <c r="G118" s="8">
        <f t="shared" si="3"/>
        <v>52</v>
      </c>
      <c r="H118" s="13" t="s">
        <v>22</v>
      </c>
    </row>
    <row r="119" ht="15.75" hidden="1" customHeight="1">
      <c r="A119" s="14">
        <v>45679.0</v>
      </c>
      <c r="B119" s="8" t="str">
        <f t="shared" si="1"/>
        <v>Jan-25</v>
      </c>
      <c r="D119" s="12" t="s">
        <v>14</v>
      </c>
      <c r="E119" s="13">
        <v>53.0</v>
      </c>
      <c r="F119" s="13">
        <v>4.0</v>
      </c>
      <c r="G119" s="8">
        <f t="shared" si="3"/>
        <v>57</v>
      </c>
      <c r="H119" s="13" t="s">
        <v>46</v>
      </c>
    </row>
    <row r="120" ht="15.75" hidden="1" customHeight="1">
      <c r="A120" s="14">
        <v>45680.0</v>
      </c>
      <c r="B120" s="8" t="str">
        <f t="shared" si="1"/>
        <v>Jan-25</v>
      </c>
      <c r="D120" s="12" t="s">
        <v>24</v>
      </c>
      <c r="E120" s="13">
        <v>70.0</v>
      </c>
      <c r="G120" s="8">
        <f t="shared" si="3"/>
        <v>70</v>
      </c>
      <c r="H120" s="13" t="s">
        <v>22</v>
      </c>
    </row>
    <row r="121" ht="15.75" hidden="1" customHeight="1">
      <c r="A121" s="14">
        <v>45680.0</v>
      </c>
      <c r="B121" s="8" t="str">
        <f t="shared" si="1"/>
        <v>Jan-25</v>
      </c>
      <c r="D121" s="12" t="s">
        <v>31</v>
      </c>
      <c r="E121" s="13">
        <v>108.0</v>
      </c>
      <c r="G121" s="8">
        <f t="shared" si="3"/>
        <v>108</v>
      </c>
      <c r="H121" s="13" t="s">
        <v>22</v>
      </c>
    </row>
    <row r="122" ht="15.75" hidden="1" customHeight="1">
      <c r="A122" s="14">
        <v>45680.0</v>
      </c>
      <c r="B122" s="8" t="str">
        <f t="shared" si="1"/>
        <v>Jan-25</v>
      </c>
      <c r="D122" s="12" t="s">
        <v>15</v>
      </c>
      <c r="E122" s="13">
        <v>4.0</v>
      </c>
      <c r="F122" s="13">
        <v>6.0</v>
      </c>
      <c r="G122" s="8">
        <f t="shared" si="3"/>
        <v>10</v>
      </c>
      <c r="H122" s="13" t="s">
        <v>22</v>
      </c>
    </row>
    <row r="123" ht="15.75" hidden="1" customHeight="1">
      <c r="A123" s="14">
        <v>45681.0</v>
      </c>
      <c r="B123" s="8" t="str">
        <f t="shared" si="1"/>
        <v>Jan-25</v>
      </c>
      <c r="D123" s="12" t="s">
        <v>14</v>
      </c>
      <c r="E123" s="13">
        <v>370.0</v>
      </c>
      <c r="F123" s="13">
        <v>15.0</v>
      </c>
      <c r="G123" s="8">
        <f t="shared" si="3"/>
        <v>385</v>
      </c>
      <c r="H123" s="13" t="s">
        <v>46</v>
      </c>
    </row>
    <row r="124" ht="15.75" hidden="1" customHeight="1">
      <c r="A124" s="14">
        <v>45682.0</v>
      </c>
      <c r="B124" s="8" t="str">
        <f t="shared" si="1"/>
        <v>Jan-25</v>
      </c>
      <c r="D124" s="12" t="s">
        <v>14</v>
      </c>
      <c r="E124" s="13">
        <v>96.0</v>
      </c>
      <c r="G124" s="8">
        <f t="shared" si="3"/>
        <v>96</v>
      </c>
      <c r="H124" s="13" t="s">
        <v>46</v>
      </c>
    </row>
    <row r="125" ht="15.75" customHeight="1">
      <c r="A125" s="14">
        <v>45682.0</v>
      </c>
      <c r="B125" s="8" t="str">
        <f t="shared" si="1"/>
        <v>Jan-25</v>
      </c>
      <c r="D125" s="12" t="s">
        <v>11</v>
      </c>
      <c r="E125" s="13">
        <v>451.0</v>
      </c>
      <c r="F125" s="13">
        <v>25.0</v>
      </c>
      <c r="G125" s="8">
        <f t="shared" si="3"/>
        <v>476</v>
      </c>
      <c r="H125" s="13" t="s">
        <v>58</v>
      </c>
    </row>
    <row r="126" ht="15.75" customHeight="1">
      <c r="A126" s="14">
        <v>45684.0</v>
      </c>
      <c r="B126" s="8" t="str">
        <f t="shared" si="1"/>
        <v>Jan-25</v>
      </c>
      <c r="D126" s="12" t="s">
        <v>11</v>
      </c>
      <c r="E126" s="13">
        <v>36.0</v>
      </c>
      <c r="G126" s="8">
        <f t="shared" si="3"/>
        <v>36</v>
      </c>
      <c r="H126" s="13" t="s">
        <v>58</v>
      </c>
      <c r="I126" s="13" t="s">
        <v>141</v>
      </c>
    </row>
    <row r="127" ht="15.75" customHeight="1">
      <c r="A127" s="14">
        <v>45684.0</v>
      </c>
      <c r="B127" s="8" t="str">
        <f t="shared" si="1"/>
        <v>Jan-25</v>
      </c>
      <c r="D127" s="12" t="s">
        <v>11</v>
      </c>
      <c r="E127" s="13">
        <v>172.0</v>
      </c>
      <c r="G127" s="8">
        <f t="shared" si="3"/>
        <v>172</v>
      </c>
      <c r="H127" s="13" t="s">
        <v>58</v>
      </c>
    </row>
    <row r="128" ht="15.75" hidden="1" customHeight="1">
      <c r="A128" s="14">
        <v>45685.0</v>
      </c>
      <c r="B128" s="8" t="str">
        <f t="shared" si="1"/>
        <v>Jan-25</v>
      </c>
      <c r="D128" s="12" t="s">
        <v>17</v>
      </c>
      <c r="E128" s="13">
        <v>317.0</v>
      </c>
      <c r="G128" s="8">
        <f t="shared" si="3"/>
        <v>317</v>
      </c>
      <c r="H128" s="13" t="s">
        <v>22</v>
      </c>
    </row>
    <row r="129" ht="15.75" hidden="1" customHeight="1">
      <c r="A129" s="14">
        <v>45686.0</v>
      </c>
      <c r="B129" s="8" t="str">
        <f t="shared" si="1"/>
        <v>Jan-25</v>
      </c>
      <c r="D129" s="12" t="s">
        <v>17</v>
      </c>
      <c r="E129" s="13">
        <v>320.0</v>
      </c>
      <c r="F129" s="13">
        <v>4.0</v>
      </c>
      <c r="G129" s="8">
        <f t="shared" si="3"/>
        <v>324</v>
      </c>
      <c r="H129" s="13" t="s">
        <v>22</v>
      </c>
    </row>
    <row r="130" ht="15.75" hidden="1" customHeight="1">
      <c r="A130" s="14">
        <v>45691.0</v>
      </c>
      <c r="B130" s="8" t="str">
        <f t="shared" si="1"/>
        <v>Feb-25</v>
      </c>
      <c r="D130" s="12" t="s">
        <v>14</v>
      </c>
      <c r="E130" s="13">
        <v>53.0</v>
      </c>
      <c r="F130" s="13">
        <v>2.0</v>
      </c>
      <c r="G130" s="8">
        <f t="shared" si="3"/>
        <v>55</v>
      </c>
      <c r="H130" s="13" t="s">
        <v>46</v>
      </c>
    </row>
    <row r="131" ht="15.75" hidden="1" customHeight="1">
      <c r="A131" s="14">
        <v>45691.0</v>
      </c>
      <c r="B131" s="8" t="str">
        <f t="shared" si="1"/>
        <v>Feb-25</v>
      </c>
      <c r="D131" s="12" t="s">
        <v>17</v>
      </c>
      <c r="E131" s="13">
        <v>575.0</v>
      </c>
      <c r="F131" s="13">
        <v>6.0</v>
      </c>
      <c r="G131" s="8">
        <f t="shared" si="3"/>
        <v>581</v>
      </c>
      <c r="H131" s="13" t="s">
        <v>58</v>
      </c>
    </row>
    <row r="132" ht="15.75" hidden="1" customHeight="1">
      <c r="A132" s="14">
        <v>45692.0</v>
      </c>
      <c r="B132" s="8" t="str">
        <f t="shared" si="1"/>
        <v>Feb-25</v>
      </c>
      <c r="D132" s="12" t="s">
        <v>14</v>
      </c>
      <c r="E132" s="13">
        <v>350.0</v>
      </c>
      <c r="F132" s="13">
        <v>40.0</v>
      </c>
      <c r="G132" s="8">
        <f t="shared" si="3"/>
        <v>390</v>
      </c>
      <c r="H132" s="13" t="s">
        <v>59</v>
      </c>
    </row>
    <row r="133" ht="15.75" hidden="1" customHeight="1">
      <c r="A133" s="14">
        <v>45696.0</v>
      </c>
      <c r="B133" s="8" t="str">
        <f t="shared" si="1"/>
        <v>Feb-25</v>
      </c>
      <c r="D133" s="12" t="s">
        <v>14</v>
      </c>
      <c r="E133" s="13">
        <v>113.0</v>
      </c>
      <c r="F133" s="13">
        <v>19.0</v>
      </c>
      <c r="G133" s="8">
        <f t="shared" si="3"/>
        <v>132</v>
      </c>
      <c r="H133" s="13" t="s">
        <v>59</v>
      </c>
    </row>
    <row r="134" ht="15.75" customHeight="1">
      <c r="A134" s="14">
        <v>45696.0</v>
      </c>
      <c r="B134" s="8" t="str">
        <f t="shared" si="1"/>
        <v>Feb-25</v>
      </c>
      <c r="D134" s="12" t="s">
        <v>11</v>
      </c>
      <c r="E134" s="13">
        <v>420.0</v>
      </c>
      <c r="F134" s="13">
        <v>8.0</v>
      </c>
      <c r="G134" s="8">
        <f t="shared" si="3"/>
        <v>428</v>
      </c>
      <c r="H134" s="13" t="s">
        <v>59</v>
      </c>
    </row>
    <row r="135" ht="15.75" hidden="1" customHeight="1">
      <c r="A135" s="14">
        <v>45696.0</v>
      </c>
      <c r="B135" s="8" t="str">
        <f t="shared" si="1"/>
        <v>Feb-25</v>
      </c>
      <c r="D135" s="12" t="s">
        <v>15</v>
      </c>
      <c r="E135" s="13">
        <v>137.0</v>
      </c>
      <c r="F135" s="13">
        <v>19.0</v>
      </c>
      <c r="G135" s="8">
        <f t="shared" si="3"/>
        <v>156</v>
      </c>
      <c r="H135" s="13" t="s">
        <v>59</v>
      </c>
    </row>
    <row r="136" ht="15.75" hidden="1" customHeight="1">
      <c r="A136" s="14">
        <v>45696.0</v>
      </c>
      <c r="B136" s="8" t="str">
        <f t="shared" si="1"/>
        <v>Feb-25</v>
      </c>
      <c r="D136" s="12" t="s">
        <v>31</v>
      </c>
      <c r="E136" s="13">
        <v>122.0</v>
      </c>
      <c r="F136" s="13">
        <v>13.0</v>
      </c>
      <c r="G136" s="8">
        <f t="shared" si="3"/>
        <v>135</v>
      </c>
      <c r="H136" s="13" t="s">
        <v>59</v>
      </c>
    </row>
    <row r="137" ht="15.75" hidden="1" customHeight="1">
      <c r="A137" s="14">
        <v>45696.0</v>
      </c>
      <c r="B137" s="8" t="str">
        <f t="shared" si="1"/>
        <v>Feb-25</v>
      </c>
      <c r="D137" s="12" t="s">
        <v>24</v>
      </c>
      <c r="E137" s="13">
        <v>151.0</v>
      </c>
      <c r="F137" s="13">
        <v>0.0</v>
      </c>
      <c r="G137" s="8">
        <f t="shared" si="3"/>
        <v>151</v>
      </c>
      <c r="H137" s="13" t="s">
        <v>59</v>
      </c>
    </row>
    <row r="138" ht="15.75" customHeight="1">
      <c r="A138" s="14">
        <v>45698.0</v>
      </c>
      <c r="B138" s="8" t="str">
        <f t="shared" si="1"/>
        <v>Feb-25</v>
      </c>
      <c r="D138" s="12" t="s">
        <v>11</v>
      </c>
      <c r="E138" s="13">
        <v>260.0</v>
      </c>
      <c r="F138" s="13">
        <v>3.0</v>
      </c>
      <c r="G138" s="8">
        <f t="shared" si="3"/>
        <v>263</v>
      </c>
      <c r="H138" s="13" t="s">
        <v>46</v>
      </c>
    </row>
    <row r="139" ht="15.75" hidden="1" customHeight="1">
      <c r="A139" s="14">
        <v>45701.0</v>
      </c>
      <c r="B139" s="8" t="str">
        <f t="shared" si="1"/>
        <v>Feb-25</v>
      </c>
      <c r="D139" s="12" t="s">
        <v>14</v>
      </c>
      <c r="E139" s="13">
        <v>315.0</v>
      </c>
      <c r="F139" s="13">
        <v>18.0</v>
      </c>
      <c r="G139" s="8">
        <f t="shared" si="3"/>
        <v>333</v>
      </c>
      <c r="H139" s="13" t="s">
        <v>59</v>
      </c>
    </row>
    <row r="140" ht="15.75" hidden="1" customHeight="1">
      <c r="A140" s="14">
        <v>45701.0</v>
      </c>
      <c r="B140" s="8" t="str">
        <f t="shared" si="1"/>
        <v>Feb-25</v>
      </c>
      <c r="D140" s="12" t="s">
        <v>14</v>
      </c>
      <c r="E140" s="13">
        <v>440.0</v>
      </c>
      <c r="F140" s="13">
        <v>10.0</v>
      </c>
      <c r="G140" s="8">
        <f t="shared" si="3"/>
        <v>450</v>
      </c>
      <c r="H140" s="13" t="s">
        <v>58</v>
      </c>
    </row>
    <row r="141" ht="15.75" customHeight="1">
      <c r="A141" s="14">
        <v>45702.0</v>
      </c>
      <c r="B141" s="8" t="str">
        <f t="shared" si="1"/>
        <v>Feb-25</v>
      </c>
      <c r="D141" s="12" t="s">
        <v>11</v>
      </c>
      <c r="E141" s="13">
        <v>400.0</v>
      </c>
      <c r="G141" s="8">
        <f t="shared" si="3"/>
        <v>400</v>
      </c>
      <c r="H141" s="13" t="s">
        <v>59</v>
      </c>
    </row>
    <row r="142" ht="15.75" customHeight="1">
      <c r="A142" s="14">
        <v>45702.0</v>
      </c>
      <c r="B142" s="8" t="str">
        <f t="shared" si="1"/>
        <v>Feb-25</v>
      </c>
      <c r="D142" s="12" t="s">
        <v>11</v>
      </c>
      <c r="E142" s="13">
        <v>246.0</v>
      </c>
      <c r="F142" s="13">
        <v>8.0</v>
      </c>
      <c r="G142" s="8">
        <f t="shared" si="3"/>
        <v>254</v>
      </c>
      <c r="H142" s="13" t="s">
        <v>58</v>
      </c>
    </row>
    <row r="143" ht="15.75" hidden="1" customHeight="1">
      <c r="A143" s="14">
        <v>45702.0</v>
      </c>
      <c r="B143" s="8" t="str">
        <f t="shared" si="1"/>
        <v>Feb-25</v>
      </c>
      <c r="D143" s="12" t="s">
        <v>14</v>
      </c>
      <c r="E143" s="13">
        <v>150.0</v>
      </c>
      <c r="F143" s="13">
        <v>10.0</v>
      </c>
      <c r="G143" s="8">
        <f t="shared" si="3"/>
        <v>160</v>
      </c>
      <c r="H143" s="13" t="s">
        <v>58</v>
      </c>
    </row>
    <row r="144" ht="15.75" hidden="1" customHeight="1">
      <c r="A144" s="14">
        <v>45703.0</v>
      </c>
      <c r="B144" s="8" t="str">
        <f t="shared" si="1"/>
        <v>Feb-25</v>
      </c>
      <c r="D144" s="12" t="s">
        <v>15</v>
      </c>
      <c r="E144" s="13">
        <v>105.0</v>
      </c>
      <c r="F144" s="13">
        <v>3.0</v>
      </c>
      <c r="G144" s="8">
        <f t="shared" si="3"/>
        <v>108</v>
      </c>
      <c r="H144" s="13" t="s">
        <v>22</v>
      </c>
    </row>
    <row r="145" ht="15.75" hidden="1" customHeight="1">
      <c r="A145" s="14">
        <v>45703.0</v>
      </c>
      <c r="B145" s="8" t="str">
        <f t="shared" si="1"/>
        <v>Feb-25</v>
      </c>
      <c r="D145" s="12" t="s">
        <v>24</v>
      </c>
      <c r="E145" s="13">
        <v>16.0</v>
      </c>
      <c r="F145" s="13">
        <v>2.0</v>
      </c>
      <c r="G145" s="8">
        <f t="shared" si="3"/>
        <v>18</v>
      </c>
      <c r="H145" s="13" t="s">
        <v>22</v>
      </c>
    </row>
    <row r="146" ht="15.75" hidden="1" customHeight="1">
      <c r="A146" s="14">
        <v>45703.0</v>
      </c>
      <c r="B146" s="8" t="str">
        <f t="shared" si="1"/>
        <v>Feb-25</v>
      </c>
      <c r="D146" s="12" t="s">
        <v>31</v>
      </c>
      <c r="E146" s="13">
        <v>2.0</v>
      </c>
      <c r="G146" s="8">
        <f t="shared" si="3"/>
        <v>2</v>
      </c>
      <c r="H146" s="13" t="s">
        <v>22</v>
      </c>
    </row>
    <row r="147" ht="15.75" hidden="1" customHeight="1">
      <c r="A147" s="14">
        <v>45703.0</v>
      </c>
      <c r="B147" s="8" t="str">
        <f t="shared" si="1"/>
        <v>Feb-25</v>
      </c>
      <c r="D147" s="12" t="s">
        <v>15</v>
      </c>
      <c r="E147" s="13">
        <v>78.0</v>
      </c>
      <c r="F147" s="13">
        <v>1.0</v>
      </c>
      <c r="G147" s="8">
        <f t="shared" si="3"/>
        <v>79</v>
      </c>
      <c r="H147" s="13" t="s">
        <v>46</v>
      </c>
    </row>
    <row r="148" ht="15.75" hidden="1" customHeight="1">
      <c r="A148" s="14">
        <v>45703.0</v>
      </c>
      <c r="B148" s="8" t="str">
        <f t="shared" si="1"/>
        <v>Feb-25</v>
      </c>
      <c r="D148" s="12" t="s">
        <v>24</v>
      </c>
      <c r="E148" s="13">
        <v>125.0</v>
      </c>
      <c r="F148" s="13">
        <v>1.0</v>
      </c>
      <c r="G148" s="8">
        <f t="shared" si="3"/>
        <v>126</v>
      </c>
      <c r="H148" s="13" t="s">
        <v>46</v>
      </c>
    </row>
    <row r="149" ht="15.75" hidden="1" customHeight="1">
      <c r="A149" s="14">
        <v>45703.0</v>
      </c>
      <c r="B149" s="8" t="str">
        <f t="shared" si="1"/>
        <v>Feb-25</v>
      </c>
      <c r="D149" s="12" t="s">
        <v>31</v>
      </c>
      <c r="E149" s="13">
        <v>172.0</v>
      </c>
      <c r="F149" s="13">
        <v>1.0</v>
      </c>
      <c r="G149" s="8">
        <f t="shared" si="3"/>
        <v>173</v>
      </c>
      <c r="H149" s="13" t="s">
        <v>46</v>
      </c>
    </row>
    <row r="150" ht="15.75" customHeight="1">
      <c r="A150" s="14">
        <v>45703.0</v>
      </c>
      <c r="B150" s="8" t="str">
        <f t="shared" si="1"/>
        <v>Feb-25</v>
      </c>
      <c r="D150" s="12" t="s">
        <v>11</v>
      </c>
      <c r="E150" s="13">
        <v>80.0</v>
      </c>
      <c r="F150" s="13">
        <v>4.0</v>
      </c>
      <c r="G150" s="8">
        <f t="shared" si="3"/>
        <v>84</v>
      </c>
      <c r="H150" s="13" t="s">
        <v>58</v>
      </c>
    </row>
    <row r="151" ht="15.75" hidden="1" customHeight="1">
      <c r="A151" s="14">
        <v>45705.0</v>
      </c>
      <c r="B151" s="8" t="str">
        <f t="shared" si="1"/>
        <v>Feb-25</v>
      </c>
      <c r="D151" s="12" t="s">
        <v>15</v>
      </c>
      <c r="E151" s="13">
        <v>44.0</v>
      </c>
      <c r="G151" s="8">
        <f t="shared" si="3"/>
        <v>44</v>
      </c>
      <c r="H151" s="13" t="s">
        <v>46</v>
      </c>
    </row>
    <row r="152" ht="15.75" customHeight="1">
      <c r="A152" s="14">
        <v>45705.0</v>
      </c>
      <c r="B152" s="8" t="str">
        <f t="shared" si="1"/>
        <v>Feb-25</v>
      </c>
      <c r="D152" s="12" t="s">
        <v>11</v>
      </c>
      <c r="E152" s="13">
        <v>147.0</v>
      </c>
      <c r="F152" s="13">
        <v>5.0</v>
      </c>
      <c r="G152" s="8">
        <f t="shared" si="3"/>
        <v>152</v>
      </c>
      <c r="H152" s="13" t="s">
        <v>46</v>
      </c>
    </row>
    <row r="153" ht="15.75" hidden="1" customHeight="1">
      <c r="A153" s="14">
        <v>45706.0</v>
      </c>
      <c r="B153" s="8" t="str">
        <f t="shared" si="1"/>
        <v>Feb-25</v>
      </c>
      <c r="D153" s="12" t="s">
        <v>14</v>
      </c>
      <c r="E153" s="13">
        <v>149.0</v>
      </c>
      <c r="F153" s="13">
        <v>4.0</v>
      </c>
      <c r="G153" s="8">
        <f t="shared" si="3"/>
        <v>153</v>
      </c>
      <c r="H153" s="13" t="s">
        <v>46</v>
      </c>
    </row>
    <row r="154" ht="15.75" hidden="1" customHeight="1">
      <c r="A154" s="14">
        <v>45707.0</v>
      </c>
      <c r="B154" s="8" t="str">
        <f t="shared" si="1"/>
        <v>Feb-25</v>
      </c>
      <c r="D154" s="12" t="s">
        <v>14</v>
      </c>
      <c r="E154" s="13">
        <v>390.0</v>
      </c>
      <c r="G154" s="8">
        <f t="shared" si="3"/>
        <v>390</v>
      </c>
      <c r="H154" s="13" t="s">
        <v>46</v>
      </c>
    </row>
    <row r="155" ht="15.75" hidden="1" customHeight="1">
      <c r="A155" s="14">
        <v>45707.0</v>
      </c>
      <c r="B155" s="8" t="str">
        <f t="shared" si="1"/>
        <v>Feb-25</v>
      </c>
      <c r="D155" s="12" t="s">
        <v>24</v>
      </c>
      <c r="E155" s="13">
        <v>40.0</v>
      </c>
      <c r="F155" s="13">
        <v>1.0</v>
      </c>
      <c r="G155" s="8">
        <f t="shared" si="3"/>
        <v>41</v>
      </c>
      <c r="H155" s="13" t="s">
        <v>58</v>
      </c>
    </row>
    <row r="156" ht="15.75" hidden="1" customHeight="1">
      <c r="A156" s="14">
        <v>45707.0</v>
      </c>
      <c r="B156" s="8" t="str">
        <f t="shared" si="1"/>
        <v>Feb-25</v>
      </c>
      <c r="D156" s="12" t="s">
        <v>31</v>
      </c>
      <c r="E156" s="13">
        <v>170.0</v>
      </c>
      <c r="F156" s="13">
        <v>1.0</v>
      </c>
      <c r="G156" s="8">
        <f t="shared" si="3"/>
        <v>171</v>
      </c>
      <c r="H156" s="13" t="s">
        <v>58</v>
      </c>
    </row>
    <row r="157" ht="15.75" hidden="1" customHeight="1">
      <c r="A157" s="14">
        <v>45708.0</v>
      </c>
      <c r="B157" s="8" t="str">
        <f t="shared" si="1"/>
        <v>Feb-25</v>
      </c>
      <c r="D157" s="12" t="s">
        <v>31</v>
      </c>
      <c r="E157" s="13">
        <v>56.0</v>
      </c>
      <c r="G157" s="8">
        <f t="shared" si="3"/>
        <v>56</v>
      </c>
      <c r="H157" s="13" t="s">
        <v>46</v>
      </c>
    </row>
    <row r="158" ht="15.75" hidden="1" customHeight="1">
      <c r="A158" s="14">
        <v>45708.0</v>
      </c>
      <c r="B158" s="8" t="str">
        <f t="shared" si="1"/>
        <v>Feb-25</v>
      </c>
      <c r="D158" s="12" t="s">
        <v>15</v>
      </c>
      <c r="E158" s="13">
        <v>121.0</v>
      </c>
      <c r="G158" s="8">
        <f t="shared" si="3"/>
        <v>121</v>
      </c>
      <c r="H158" s="13" t="s">
        <v>46</v>
      </c>
    </row>
    <row r="159" ht="15.75" hidden="1" customHeight="1">
      <c r="A159" s="14">
        <v>45708.0</v>
      </c>
      <c r="B159" s="8" t="str">
        <f t="shared" si="1"/>
        <v>Feb-25</v>
      </c>
      <c r="D159" s="12" t="s">
        <v>24</v>
      </c>
      <c r="E159" s="13">
        <v>136.0</v>
      </c>
      <c r="F159" s="13">
        <v>5.0</v>
      </c>
      <c r="G159" s="8">
        <f t="shared" si="3"/>
        <v>141</v>
      </c>
      <c r="H159" s="13" t="s">
        <v>46</v>
      </c>
    </row>
    <row r="160" ht="15.75" hidden="1" customHeight="1">
      <c r="A160" s="14">
        <v>45708.0</v>
      </c>
      <c r="B160" s="8" t="str">
        <f t="shared" si="1"/>
        <v>Feb-25</v>
      </c>
      <c r="D160" s="12" t="s">
        <v>14</v>
      </c>
      <c r="E160" s="13">
        <v>55.0</v>
      </c>
      <c r="F160" s="13">
        <v>0.0</v>
      </c>
      <c r="G160" s="8">
        <f t="shared" si="3"/>
        <v>55</v>
      </c>
      <c r="H160" s="13" t="s">
        <v>22</v>
      </c>
    </row>
    <row r="161" ht="15.75" hidden="1" customHeight="1">
      <c r="A161" s="14">
        <v>45708.0</v>
      </c>
      <c r="B161" s="8" t="str">
        <f t="shared" si="1"/>
        <v>Feb-25</v>
      </c>
      <c r="D161" s="12" t="s">
        <v>28</v>
      </c>
      <c r="E161" s="13">
        <v>85.0</v>
      </c>
      <c r="F161" s="13">
        <v>2.0</v>
      </c>
      <c r="G161" s="8">
        <f t="shared" si="3"/>
        <v>87</v>
      </c>
      <c r="H161" s="13" t="s">
        <v>22</v>
      </c>
    </row>
    <row r="162" ht="15.75" customHeight="1">
      <c r="A162" s="14">
        <v>45709.0</v>
      </c>
      <c r="B162" s="8" t="str">
        <f t="shared" si="1"/>
        <v>Feb-25</v>
      </c>
      <c r="D162" s="12" t="s">
        <v>11</v>
      </c>
      <c r="E162" s="13">
        <v>275.0</v>
      </c>
      <c r="F162" s="13">
        <v>9.0</v>
      </c>
      <c r="G162" s="8">
        <f t="shared" si="3"/>
        <v>284</v>
      </c>
      <c r="H162" s="13" t="s">
        <v>46</v>
      </c>
    </row>
    <row r="163" ht="15.75" customHeight="1">
      <c r="A163" s="14">
        <v>45709.0</v>
      </c>
      <c r="B163" s="8" t="str">
        <f t="shared" si="1"/>
        <v>Feb-25</v>
      </c>
      <c r="D163" s="12" t="s">
        <v>11</v>
      </c>
      <c r="E163" s="13">
        <v>255.0</v>
      </c>
      <c r="G163" s="8">
        <f t="shared" si="3"/>
        <v>255</v>
      </c>
      <c r="H163" s="13" t="s">
        <v>23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63">
    <filterColumn colId="3">
      <filters>
        <filter val="GV3 Digital PCB"/>
      </filters>
    </filterColumn>
  </autoFilter>
  <dataValidations>
    <dataValidation type="list" allowBlank="1" showErrorMessage="1" sqref="H2:H163">
      <formula1>'Data Validation'!$C$3:$C$20</formula1>
    </dataValidation>
    <dataValidation type="list" allowBlank="1" showErrorMessage="1" sqref="D2:D163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7.86"/>
    <col customWidth="1" min="8" max="8" width="80.29"/>
    <col customWidth="1" min="9" max="28" width="17.86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2" t="s">
        <v>142</v>
      </c>
      <c r="F1" s="2" t="s">
        <v>143</v>
      </c>
      <c r="G1" s="1" t="s">
        <v>6</v>
      </c>
      <c r="H1" s="2" t="s">
        <v>63</v>
      </c>
      <c r="I1" s="1" t="s">
        <v>144</v>
      </c>
      <c r="J1" s="1" t="s">
        <v>0</v>
      </c>
      <c r="K1" s="1" t="s">
        <v>1</v>
      </c>
    </row>
    <row r="2">
      <c r="A2" s="14">
        <v>45601.0</v>
      </c>
      <c r="B2" s="8" t="str">
        <f t="shared" ref="B2:B24" si="1">TEXT(A2,"mmm-yy")</f>
        <v>Nov-24</v>
      </c>
      <c r="D2" s="12" t="s">
        <v>14</v>
      </c>
      <c r="E2" s="13">
        <v>500.0</v>
      </c>
      <c r="F2" s="13"/>
      <c r="G2" s="13" t="s">
        <v>22</v>
      </c>
      <c r="J2" s="21"/>
    </row>
    <row r="3">
      <c r="A3" s="14">
        <v>45602.0</v>
      </c>
      <c r="B3" s="8" t="str">
        <f t="shared" si="1"/>
        <v>Nov-24</v>
      </c>
      <c r="D3" s="12" t="s">
        <v>14</v>
      </c>
      <c r="E3" s="13">
        <v>100.0</v>
      </c>
      <c r="G3" s="13" t="s">
        <v>46</v>
      </c>
    </row>
    <row r="4">
      <c r="A4" s="14">
        <v>45603.0</v>
      </c>
      <c r="B4" s="8" t="str">
        <f t="shared" si="1"/>
        <v>Nov-24</v>
      </c>
      <c r="D4" s="12" t="s">
        <v>17</v>
      </c>
      <c r="G4" s="13" t="s">
        <v>12</v>
      </c>
      <c r="H4" s="13" t="s">
        <v>145</v>
      </c>
    </row>
    <row r="5">
      <c r="A5" s="14">
        <v>45603.0</v>
      </c>
      <c r="B5" s="8" t="str">
        <f t="shared" si="1"/>
        <v>Nov-24</v>
      </c>
      <c r="D5" s="12" t="s">
        <v>14</v>
      </c>
      <c r="E5" s="13">
        <v>490.0</v>
      </c>
      <c r="G5" s="13" t="s">
        <v>23</v>
      </c>
    </row>
    <row r="6">
      <c r="A6" s="14">
        <v>45603.0</v>
      </c>
      <c r="B6" s="8" t="str">
        <f t="shared" si="1"/>
        <v>Nov-24</v>
      </c>
      <c r="D6" s="12" t="s">
        <v>17</v>
      </c>
      <c r="G6" s="13" t="s">
        <v>23</v>
      </c>
      <c r="H6" s="13" t="s">
        <v>146</v>
      </c>
    </row>
    <row r="7">
      <c r="A7" s="14">
        <v>45604.0</v>
      </c>
      <c r="B7" s="8" t="str">
        <f t="shared" si="1"/>
        <v>Nov-24</v>
      </c>
      <c r="D7" s="12" t="s">
        <v>17</v>
      </c>
      <c r="G7" s="13" t="s">
        <v>23</v>
      </c>
      <c r="H7" s="13" t="s">
        <v>147</v>
      </c>
    </row>
    <row r="8">
      <c r="A8" s="14">
        <v>45604.0</v>
      </c>
      <c r="B8" s="8" t="str">
        <f t="shared" si="1"/>
        <v>Nov-24</v>
      </c>
      <c r="D8" s="12" t="s">
        <v>14</v>
      </c>
      <c r="E8" s="13">
        <v>290.0</v>
      </c>
      <c r="G8" s="13" t="s">
        <v>23</v>
      </c>
    </row>
    <row r="9">
      <c r="A9" s="14">
        <v>45604.0</v>
      </c>
      <c r="B9" s="8" t="str">
        <f t="shared" si="1"/>
        <v>Nov-24</v>
      </c>
      <c r="D9" s="12" t="s">
        <v>15</v>
      </c>
      <c r="G9" s="13" t="s">
        <v>23</v>
      </c>
      <c r="H9" s="13" t="s">
        <v>148</v>
      </c>
    </row>
    <row r="10">
      <c r="A10" s="14">
        <v>45604.0</v>
      </c>
      <c r="B10" s="8" t="str">
        <f t="shared" si="1"/>
        <v>Nov-24</v>
      </c>
      <c r="D10" s="12" t="s">
        <v>17</v>
      </c>
      <c r="G10" s="13" t="s">
        <v>32</v>
      </c>
      <c r="H10" s="13" t="s">
        <v>149</v>
      </c>
    </row>
    <row r="11">
      <c r="A11" s="14">
        <v>45604.0</v>
      </c>
      <c r="B11" s="8" t="str">
        <f t="shared" si="1"/>
        <v>Nov-24</v>
      </c>
      <c r="D11" s="12" t="s">
        <v>14</v>
      </c>
      <c r="E11" s="13">
        <v>301.0</v>
      </c>
      <c r="G11" s="13" t="s">
        <v>32</v>
      </c>
    </row>
    <row r="12">
      <c r="A12" s="14">
        <v>45604.0</v>
      </c>
      <c r="B12" s="8" t="str">
        <f t="shared" si="1"/>
        <v>Nov-24</v>
      </c>
      <c r="D12" s="12" t="s">
        <v>17</v>
      </c>
      <c r="G12" s="13" t="s">
        <v>37</v>
      </c>
      <c r="H12" s="13" t="s">
        <v>148</v>
      </c>
    </row>
    <row r="13">
      <c r="A13" s="14">
        <v>45604.0</v>
      </c>
      <c r="B13" s="8" t="str">
        <f t="shared" si="1"/>
        <v>Nov-24</v>
      </c>
      <c r="D13" s="12" t="s">
        <v>17</v>
      </c>
      <c r="G13" s="13" t="s">
        <v>12</v>
      </c>
      <c r="H13" s="13" t="s">
        <v>150</v>
      </c>
    </row>
    <row r="14">
      <c r="A14" s="14">
        <v>45604.0</v>
      </c>
      <c r="B14" s="8" t="str">
        <f t="shared" si="1"/>
        <v>Nov-24</v>
      </c>
      <c r="D14" s="12" t="s">
        <v>14</v>
      </c>
      <c r="G14" s="13" t="s">
        <v>12</v>
      </c>
    </row>
    <row r="15">
      <c r="A15" s="14">
        <v>45604.0</v>
      </c>
      <c r="B15" s="8" t="str">
        <f t="shared" si="1"/>
        <v>Nov-24</v>
      </c>
      <c r="D15" s="12" t="s">
        <v>15</v>
      </c>
      <c r="E15" s="13">
        <v>282.0</v>
      </c>
      <c r="G15" s="13" t="s">
        <v>12</v>
      </c>
    </row>
    <row r="16">
      <c r="A16" s="14">
        <v>45605.0</v>
      </c>
      <c r="B16" s="8" t="str">
        <f t="shared" si="1"/>
        <v>Nov-24</v>
      </c>
      <c r="D16" s="12" t="s">
        <v>17</v>
      </c>
      <c r="G16" s="13" t="s">
        <v>12</v>
      </c>
      <c r="H16" s="13" t="s">
        <v>151</v>
      </c>
    </row>
    <row r="17">
      <c r="A17" s="14">
        <v>45608.0</v>
      </c>
      <c r="B17" s="8" t="str">
        <f t="shared" si="1"/>
        <v>Nov-24</v>
      </c>
      <c r="D17" s="12" t="s">
        <v>11</v>
      </c>
      <c r="G17" s="13" t="s">
        <v>12</v>
      </c>
      <c r="H17" s="13" t="s">
        <v>152</v>
      </c>
    </row>
    <row r="18">
      <c r="A18" s="14">
        <v>45608.0</v>
      </c>
      <c r="B18" s="8" t="str">
        <f t="shared" si="1"/>
        <v>Nov-24</v>
      </c>
      <c r="D18" s="12" t="s">
        <v>14</v>
      </c>
      <c r="F18" s="13">
        <v>2825.0</v>
      </c>
      <c r="G18" s="13" t="s">
        <v>27</v>
      </c>
    </row>
    <row r="19">
      <c r="A19" s="14">
        <v>45608.0</v>
      </c>
      <c r="B19" s="8" t="str">
        <f t="shared" si="1"/>
        <v>Nov-24</v>
      </c>
      <c r="D19" s="12" t="s">
        <v>31</v>
      </c>
      <c r="F19" s="13">
        <v>240.0</v>
      </c>
      <c r="G19" s="13" t="s">
        <v>27</v>
      </c>
      <c r="H19" s="13" t="s">
        <v>153</v>
      </c>
    </row>
    <row r="20">
      <c r="A20" s="14">
        <v>45609.0</v>
      </c>
      <c r="B20" s="8" t="str">
        <f t="shared" si="1"/>
        <v>Nov-24</v>
      </c>
      <c r="D20" s="12" t="s">
        <v>31</v>
      </c>
      <c r="E20" s="13">
        <v>227.0</v>
      </c>
      <c r="G20" s="13" t="s">
        <v>12</v>
      </c>
    </row>
    <row r="21" ht="15.75" customHeight="1">
      <c r="A21" s="14">
        <v>45609.0</v>
      </c>
      <c r="B21" s="8" t="str">
        <f t="shared" si="1"/>
        <v>Nov-24</v>
      </c>
      <c r="D21" s="12" t="s">
        <v>14</v>
      </c>
      <c r="E21" s="13">
        <v>115.0</v>
      </c>
      <c r="G21" s="13" t="s">
        <v>12</v>
      </c>
    </row>
    <row r="22" ht="15.75" customHeight="1">
      <c r="A22" s="14">
        <v>45610.0</v>
      </c>
      <c r="B22" s="8" t="str">
        <f t="shared" si="1"/>
        <v>Nov-24</v>
      </c>
      <c r="D22" s="12" t="s">
        <v>11</v>
      </c>
      <c r="E22" s="13">
        <v>340.0</v>
      </c>
      <c r="G22" s="13" t="s">
        <v>46</v>
      </c>
    </row>
    <row r="23" ht="15.75" customHeight="1">
      <c r="A23" s="14">
        <v>45610.0</v>
      </c>
      <c r="B23" s="8" t="str">
        <f t="shared" si="1"/>
        <v>Nov-24</v>
      </c>
      <c r="D23" s="8"/>
      <c r="F23" s="13">
        <v>3300.0</v>
      </c>
      <c r="G23" s="13" t="s">
        <v>27</v>
      </c>
      <c r="H23" s="13" t="s">
        <v>154</v>
      </c>
    </row>
    <row r="24" ht="15.75" customHeight="1">
      <c r="A24" s="14">
        <v>45610.0</v>
      </c>
      <c r="B24" s="8" t="str">
        <f t="shared" si="1"/>
        <v>Nov-24</v>
      </c>
      <c r="D24" s="12" t="s">
        <v>14</v>
      </c>
      <c r="G24" s="13" t="s">
        <v>32</v>
      </c>
      <c r="H24" s="13" t="s">
        <v>155</v>
      </c>
    </row>
    <row r="25" ht="15.75" customHeight="1">
      <c r="A25" s="14">
        <v>45610.0</v>
      </c>
      <c r="B25" s="8" t="str">
        <f t="shared" ref="B25:B86" si="2">TEXT(A24,"mmm-yy")</f>
        <v>Nov-24</v>
      </c>
      <c r="D25" s="12" t="s">
        <v>17</v>
      </c>
      <c r="G25" s="13" t="s">
        <v>32</v>
      </c>
      <c r="H25" s="13" t="s">
        <v>156</v>
      </c>
    </row>
    <row r="26" ht="15.75" customHeight="1">
      <c r="A26" s="14">
        <v>45610.0</v>
      </c>
      <c r="B26" s="8" t="str">
        <f t="shared" si="2"/>
        <v>Nov-24</v>
      </c>
      <c r="D26" s="12" t="s">
        <v>11</v>
      </c>
      <c r="E26" s="13">
        <v>340.0</v>
      </c>
      <c r="G26" s="13" t="s">
        <v>23</v>
      </c>
    </row>
    <row r="27" ht="15.75" customHeight="1">
      <c r="A27" s="14">
        <v>45611.0</v>
      </c>
      <c r="B27" s="8" t="str">
        <f t="shared" si="2"/>
        <v>Nov-24</v>
      </c>
      <c r="D27" s="12"/>
      <c r="G27" s="8"/>
      <c r="I27" s="13">
        <v>27.0</v>
      </c>
      <c r="J27" s="22">
        <v>45611.0</v>
      </c>
      <c r="K27" s="13" t="s">
        <v>157</v>
      </c>
    </row>
    <row r="28" ht="15.75" customHeight="1">
      <c r="A28" s="14">
        <v>45614.0</v>
      </c>
      <c r="B28" s="8" t="str">
        <f t="shared" si="2"/>
        <v>Nov-24</v>
      </c>
      <c r="D28" s="12" t="s">
        <v>17</v>
      </c>
      <c r="G28" s="13" t="s">
        <v>23</v>
      </c>
      <c r="H28" s="13" t="s">
        <v>158</v>
      </c>
    </row>
    <row r="29" ht="15.75" customHeight="1">
      <c r="A29" s="14">
        <v>45614.0</v>
      </c>
      <c r="B29" s="8" t="str">
        <f t="shared" si="2"/>
        <v>Nov-24</v>
      </c>
      <c r="D29" s="12" t="s">
        <v>17</v>
      </c>
      <c r="G29" s="13" t="s">
        <v>53</v>
      </c>
      <c r="H29" s="13" t="s">
        <v>158</v>
      </c>
    </row>
    <row r="30" ht="15.75" customHeight="1">
      <c r="A30" s="14">
        <v>45617.0</v>
      </c>
      <c r="B30" s="8" t="str">
        <f t="shared" si="2"/>
        <v>Nov-24</v>
      </c>
      <c r="D30" s="12" t="s">
        <v>17</v>
      </c>
      <c r="G30" s="13" t="s">
        <v>12</v>
      </c>
      <c r="H30" s="13" t="s">
        <v>159</v>
      </c>
    </row>
    <row r="31" ht="15.75" customHeight="1">
      <c r="A31" s="14">
        <v>45617.0</v>
      </c>
      <c r="B31" s="8" t="str">
        <f t="shared" si="2"/>
        <v>Nov-24</v>
      </c>
      <c r="D31" s="12" t="s">
        <v>17</v>
      </c>
      <c r="G31" s="13" t="s">
        <v>22</v>
      </c>
      <c r="H31" s="13" t="s">
        <v>159</v>
      </c>
    </row>
    <row r="32" ht="15.75" customHeight="1">
      <c r="A32" s="14">
        <v>45617.0</v>
      </c>
      <c r="B32" s="8" t="str">
        <f t="shared" si="2"/>
        <v>Nov-24</v>
      </c>
      <c r="D32" s="12" t="s">
        <v>17</v>
      </c>
      <c r="G32" s="13" t="s">
        <v>32</v>
      </c>
      <c r="H32" s="13" t="s">
        <v>159</v>
      </c>
    </row>
    <row r="33" ht="15.75" customHeight="1">
      <c r="A33" s="14">
        <v>45618.0</v>
      </c>
      <c r="B33" s="8" t="str">
        <f t="shared" si="2"/>
        <v>Nov-24</v>
      </c>
      <c r="D33" s="12" t="s">
        <v>28</v>
      </c>
      <c r="G33" s="13" t="s">
        <v>12</v>
      </c>
      <c r="H33" s="13" t="s">
        <v>160</v>
      </c>
    </row>
    <row r="34" ht="15.75" customHeight="1">
      <c r="A34" s="14">
        <v>45618.0</v>
      </c>
      <c r="B34" s="8" t="str">
        <f t="shared" si="2"/>
        <v>Nov-24</v>
      </c>
      <c r="D34" s="12" t="s">
        <v>17</v>
      </c>
      <c r="G34" s="13" t="s">
        <v>32</v>
      </c>
      <c r="H34" s="13" t="s">
        <v>161</v>
      </c>
    </row>
    <row r="35" ht="15.75" customHeight="1">
      <c r="A35" s="14">
        <v>45618.0</v>
      </c>
      <c r="B35" s="8" t="str">
        <f t="shared" si="2"/>
        <v>Nov-24</v>
      </c>
      <c r="D35" s="12" t="s">
        <v>17</v>
      </c>
      <c r="G35" s="13" t="s">
        <v>32</v>
      </c>
      <c r="H35" s="13" t="s">
        <v>162</v>
      </c>
    </row>
    <row r="36" ht="15.75" customHeight="1">
      <c r="A36" s="14">
        <v>45618.0</v>
      </c>
      <c r="B36" s="8" t="str">
        <f t="shared" si="2"/>
        <v>Nov-24</v>
      </c>
      <c r="D36" s="12" t="s">
        <v>11</v>
      </c>
      <c r="G36" s="13" t="s">
        <v>32</v>
      </c>
      <c r="H36" s="13" t="s">
        <v>163</v>
      </c>
    </row>
    <row r="37" ht="15.75" customHeight="1">
      <c r="A37" s="14">
        <v>45618.0</v>
      </c>
      <c r="B37" s="8" t="str">
        <f t="shared" si="2"/>
        <v>Nov-24</v>
      </c>
      <c r="D37" s="12" t="s">
        <v>17</v>
      </c>
      <c r="G37" s="13" t="s">
        <v>59</v>
      </c>
      <c r="H37" s="13" t="s">
        <v>164</v>
      </c>
    </row>
    <row r="38" ht="15.75" customHeight="1">
      <c r="A38" s="14">
        <v>45618.0</v>
      </c>
      <c r="B38" s="8" t="str">
        <f t="shared" si="2"/>
        <v>Nov-24</v>
      </c>
      <c r="D38" s="12" t="s">
        <v>11</v>
      </c>
      <c r="G38" s="13" t="s">
        <v>22</v>
      </c>
      <c r="H38" s="13" t="s">
        <v>165</v>
      </c>
    </row>
    <row r="39" ht="15.75" customHeight="1">
      <c r="A39" s="14">
        <v>45618.0</v>
      </c>
      <c r="B39" s="8" t="str">
        <f t="shared" si="2"/>
        <v>Nov-24</v>
      </c>
      <c r="D39" s="12" t="s">
        <v>28</v>
      </c>
      <c r="G39" s="13" t="s">
        <v>23</v>
      </c>
      <c r="H39" s="13" t="s">
        <v>166</v>
      </c>
    </row>
    <row r="40" ht="15.75" customHeight="1">
      <c r="A40" s="14">
        <v>45618.0</v>
      </c>
      <c r="B40" s="8" t="str">
        <f t="shared" si="2"/>
        <v>Nov-24</v>
      </c>
      <c r="D40" s="12" t="s">
        <v>14</v>
      </c>
      <c r="G40" s="13" t="s">
        <v>46</v>
      </c>
      <c r="H40" s="13" t="s">
        <v>167</v>
      </c>
    </row>
    <row r="41" ht="15.75" customHeight="1">
      <c r="A41" s="14">
        <v>45618.0</v>
      </c>
      <c r="B41" s="8" t="str">
        <f t="shared" si="2"/>
        <v>Nov-24</v>
      </c>
      <c r="D41" s="12" t="s">
        <v>14</v>
      </c>
      <c r="G41" s="13" t="s">
        <v>53</v>
      </c>
    </row>
    <row r="42" ht="15.75" customHeight="1">
      <c r="A42" s="14">
        <v>45623.0</v>
      </c>
      <c r="B42" s="8" t="str">
        <f t="shared" si="2"/>
        <v>Nov-24</v>
      </c>
      <c r="D42" s="12" t="s">
        <v>14</v>
      </c>
      <c r="E42" s="13">
        <v>205.0</v>
      </c>
      <c r="G42" s="13" t="s">
        <v>32</v>
      </c>
    </row>
    <row r="43" ht="15.75" customHeight="1">
      <c r="A43" s="14">
        <v>45623.0</v>
      </c>
      <c r="B43" s="8" t="str">
        <f t="shared" si="2"/>
        <v>Nov-24</v>
      </c>
      <c r="D43" s="12" t="s">
        <v>11</v>
      </c>
      <c r="E43" s="13">
        <v>175.0</v>
      </c>
      <c r="G43" s="13" t="s">
        <v>12</v>
      </c>
    </row>
    <row r="44" ht="15.75" customHeight="1">
      <c r="A44" s="14">
        <v>45625.0</v>
      </c>
      <c r="B44" s="8" t="str">
        <f t="shared" si="2"/>
        <v>Nov-24</v>
      </c>
      <c r="C44" s="13">
        <v>72.0</v>
      </c>
      <c r="D44" s="12" t="s">
        <v>17</v>
      </c>
      <c r="G44" s="13" t="s">
        <v>12</v>
      </c>
      <c r="H44" s="13" t="s">
        <v>168</v>
      </c>
    </row>
    <row r="45" ht="15.75" customHeight="1">
      <c r="A45" s="14">
        <v>45625.0</v>
      </c>
      <c r="B45" s="8" t="str">
        <f t="shared" si="2"/>
        <v>Nov-24</v>
      </c>
      <c r="D45" s="12" t="s">
        <v>17</v>
      </c>
      <c r="G45" s="13" t="s">
        <v>32</v>
      </c>
      <c r="H45" s="13" t="s">
        <v>169</v>
      </c>
    </row>
    <row r="46" ht="15.75" customHeight="1">
      <c r="A46" s="14">
        <v>45626.0</v>
      </c>
      <c r="B46" s="8" t="str">
        <f t="shared" si="2"/>
        <v>Nov-24</v>
      </c>
      <c r="D46" s="12" t="s">
        <v>11</v>
      </c>
      <c r="E46" s="13">
        <v>247.0</v>
      </c>
      <c r="G46" s="13" t="s">
        <v>27</v>
      </c>
    </row>
    <row r="47" ht="15.75" customHeight="1">
      <c r="A47" s="14">
        <v>45626.0</v>
      </c>
      <c r="B47" s="8" t="str">
        <f t="shared" si="2"/>
        <v>Nov-24</v>
      </c>
      <c r="D47" s="12" t="s">
        <v>17</v>
      </c>
      <c r="E47" s="13">
        <v>46.0</v>
      </c>
      <c r="G47" s="13" t="s">
        <v>27</v>
      </c>
    </row>
    <row r="48" ht="15.75" customHeight="1">
      <c r="A48" s="14">
        <v>45626.0</v>
      </c>
      <c r="B48" s="8" t="str">
        <f t="shared" si="2"/>
        <v>Nov-24</v>
      </c>
      <c r="D48" s="12" t="s">
        <v>28</v>
      </c>
      <c r="E48" s="13">
        <v>1155.0</v>
      </c>
      <c r="G48" s="13" t="s">
        <v>27</v>
      </c>
    </row>
    <row r="49" ht="15.75" customHeight="1">
      <c r="A49" s="14">
        <v>45626.0</v>
      </c>
      <c r="B49" s="8" t="str">
        <f t="shared" si="2"/>
        <v>Nov-24</v>
      </c>
      <c r="C49" s="13" t="s">
        <v>170</v>
      </c>
      <c r="D49" s="12" t="s">
        <v>28</v>
      </c>
      <c r="E49" s="13">
        <v>10.0</v>
      </c>
      <c r="G49" s="13" t="s">
        <v>27</v>
      </c>
    </row>
    <row r="50" ht="15.75" customHeight="1">
      <c r="A50" s="14">
        <v>45626.0</v>
      </c>
      <c r="B50" s="8" t="str">
        <f t="shared" si="2"/>
        <v>Nov-24</v>
      </c>
      <c r="C50" s="13" t="s">
        <v>170</v>
      </c>
      <c r="D50" s="12" t="s">
        <v>11</v>
      </c>
      <c r="E50" s="13">
        <v>146.0</v>
      </c>
      <c r="G50" s="13" t="s">
        <v>27</v>
      </c>
    </row>
    <row r="51" ht="15.75" customHeight="1">
      <c r="A51" s="14">
        <v>45626.0</v>
      </c>
      <c r="B51" s="8" t="str">
        <f t="shared" si="2"/>
        <v>Nov-24</v>
      </c>
      <c r="C51" s="13" t="s">
        <v>170</v>
      </c>
      <c r="D51" s="12" t="s">
        <v>17</v>
      </c>
      <c r="E51" s="13">
        <v>496.0</v>
      </c>
      <c r="G51" s="13" t="s">
        <v>27</v>
      </c>
    </row>
    <row r="52" ht="15.75" customHeight="1">
      <c r="A52" s="14">
        <v>45628.0</v>
      </c>
      <c r="B52" s="8" t="str">
        <f t="shared" si="2"/>
        <v>Nov-24</v>
      </c>
      <c r="D52" s="12"/>
      <c r="G52" s="8"/>
      <c r="I52" s="13">
        <v>28.0</v>
      </c>
      <c r="J52" s="22">
        <v>45628.0</v>
      </c>
      <c r="K52" s="13" t="s">
        <v>171</v>
      </c>
    </row>
    <row r="53" ht="15.75" customHeight="1">
      <c r="A53" s="14">
        <v>45630.0</v>
      </c>
      <c r="B53" s="8" t="str">
        <f t="shared" si="2"/>
        <v>Dec-24</v>
      </c>
      <c r="D53" s="12" t="s">
        <v>17</v>
      </c>
      <c r="E53" s="13">
        <v>140.0</v>
      </c>
      <c r="G53" s="13" t="s">
        <v>53</v>
      </c>
      <c r="H53" s="13" t="s">
        <v>172</v>
      </c>
    </row>
    <row r="54" ht="15.75" customHeight="1">
      <c r="A54" s="14">
        <v>45630.0</v>
      </c>
      <c r="B54" s="8" t="str">
        <f t="shared" si="2"/>
        <v>Dec-24</v>
      </c>
      <c r="D54" s="12" t="s">
        <v>14</v>
      </c>
      <c r="E54" s="13">
        <v>295.0</v>
      </c>
      <c r="G54" s="13" t="s">
        <v>53</v>
      </c>
      <c r="H54" s="13" t="s">
        <v>172</v>
      </c>
    </row>
    <row r="55" ht="15.75" customHeight="1">
      <c r="A55" s="14">
        <v>45630.0</v>
      </c>
      <c r="B55" s="8" t="str">
        <f t="shared" si="2"/>
        <v>Dec-24</v>
      </c>
      <c r="C55" s="13" t="s">
        <v>173</v>
      </c>
      <c r="D55" s="12" t="s">
        <v>14</v>
      </c>
      <c r="E55" s="13">
        <v>73.0</v>
      </c>
      <c r="G55" s="13" t="s">
        <v>53</v>
      </c>
      <c r="H55" s="13" t="s">
        <v>172</v>
      </c>
    </row>
    <row r="56" ht="15.75" customHeight="1">
      <c r="A56" s="14">
        <v>45631.0</v>
      </c>
      <c r="B56" s="8" t="str">
        <f t="shared" si="2"/>
        <v>Dec-24</v>
      </c>
      <c r="C56" s="13" t="s">
        <v>173</v>
      </c>
      <c r="D56" s="12" t="s">
        <v>17</v>
      </c>
      <c r="E56" s="13">
        <v>220.0</v>
      </c>
      <c r="G56" s="13" t="s">
        <v>23</v>
      </c>
      <c r="H56" s="13" t="s">
        <v>174</v>
      </c>
    </row>
    <row r="57" ht="15.75" customHeight="1">
      <c r="A57" s="14">
        <v>45631.0</v>
      </c>
      <c r="B57" s="8" t="str">
        <f t="shared" si="2"/>
        <v>Dec-24</v>
      </c>
      <c r="C57" s="13" t="s">
        <v>173</v>
      </c>
      <c r="D57" s="12" t="s">
        <v>14</v>
      </c>
      <c r="E57" s="13">
        <v>534.0</v>
      </c>
      <c r="G57" s="13" t="s">
        <v>32</v>
      </c>
    </row>
    <row r="58" ht="15.75" customHeight="1">
      <c r="A58" s="14">
        <v>45631.0</v>
      </c>
      <c r="B58" s="8" t="str">
        <f t="shared" si="2"/>
        <v>Dec-24</v>
      </c>
      <c r="C58" s="13" t="s">
        <v>173</v>
      </c>
      <c r="D58" s="12" t="s">
        <v>11</v>
      </c>
      <c r="E58" s="13">
        <v>83.0</v>
      </c>
      <c r="G58" s="13" t="s">
        <v>32</v>
      </c>
    </row>
    <row r="59" ht="15.75" customHeight="1">
      <c r="A59" s="14">
        <v>45631.0</v>
      </c>
      <c r="B59" s="8" t="str">
        <f t="shared" si="2"/>
        <v>Dec-24</v>
      </c>
      <c r="D59" s="12"/>
      <c r="G59" s="13" t="s">
        <v>32</v>
      </c>
      <c r="H59" s="13" t="s">
        <v>175</v>
      </c>
    </row>
    <row r="60" ht="15.75" customHeight="1">
      <c r="A60" s="14">
        <v>45632.0</v>
      </c>
      <c r="B60" s="8" t="str">
        <f t="shared" si="2"/>
        <v>Dec-24</v>
      </c>
      <c r="C60" s="13" t="s">
        <v>173</v>
      </c>
      <c r="D60" s="12" t="s">
        <v>17</v>
      </c>
      <c r="G60" s="13" t="s">
        <v>27</v>
      </c>
      <c r="H60" s="13" t="s">
        <v>176</v>
      </c>
    </row>
    <row r="61" ht="15.75" customHeight="1">
      <c r="A61" s="14">
        <v>45632.0</v>
      </c>
      <c r="B61" s="8" t="str">
        <f t="shared" si="2"/>
        <v>Dec-24</v>
      </c>
      <c r="C61" s="13" t="s">
        <v>173</v>
      </c>
      <c r="D61" s="12" t="s">
        <v>17</v>
      </c>
      <c r="G61" s="13" t="s">
        <v>27</v>
      </c>
      <c r="H61" s="13" t="s">
        <v>177</v>
      </c>
    </row>
    <row r="62" ht="15.75" customHeight="1">
      <c r="A62" s="14">
        <v>45632.0</v>
      </c>
      <c r="B62" s="8" t="str">
        <f t="shared" si="2"/>
        <v>Dec-24</v>
      </c>
      <c r="C62" s="13" t="s">
        <v>173</v>
      </c>
      <c r="D62" s="12" t="s">
        <v>17</v>
      </c>
      <c r="F62" s="13">
        <v>910.0</v>
      </c>
      <c r="G62" s="13" t="s">
        <v>27</v>
      </c>
    </row>
    <row r="63" ht="15.75" customHeight="1">
      <c r="A63" s="14">
        <v>45633.0</v>
      </c>
      <c r="B63" s="8" t="str">
        <f t="shared" si="2"/>
        <v>Dec-24</v>
      </c>
      <c r="D63" s="12" t="s">
        <v>11</v>
      </c>
      <c r="F63" s="13">
        <v>350.0</v>
      </c>
      <c r="G63" s="13" t="s">
        <v>32</v>
      </c>
      <c r="H63" s="13" t="s">
        <v>134</v>
      </c>
    </row>
    <row r="64" ht="15.75" customHeight="1">
      <c r="A64" s="14">
        <v>45633.0</v>
      </c>
      <c r="B64" s="8" t="str">
        <f t="shared" si="2"/>
        <v>Dec-24</v>
      </c>
      <c r="D64" s="12" t="s">
        <v>14</v>
      </c>
      <c r="F64" s="13">
        <v>1043.0</v>
      </c>
      <c r="G64" s="13" t="s">
        <v>32</v>
      </c>
      <c r="H64" s="13" t="s">
        <v>178</v>
      </c>
    </row>
    <row r="65" ht="15.75" customHeight="1">
      <c r="A65" s="14">
        <v>45633.0</v>
      </c>
      <c r="B65" s="8" t="str">
        <f t="shared" si="2"/>
        <v>Dec-24</v>
      </c>
      <c r="D65" s="12" t="s">
        <v>24</v>
      </c>
      <c r="F65" s="13">
        <v>69.0</v>
      </c>
      <c r="G65" s="13" t="s">
        <v>32</v>
      </c>
      <c r="H65" s="13" t="s">
        <v>179</v>
      </c>
    </row>
    <row r="66" ht="15.75" customHeight="1">
      <c r="A66" s="14">
        <v>45633.0</v>
      </c>
      <c r="B66" s="8" t="str">
        <f t="shared" si="2"/>
        <v>Dec-24</v>
      </c>
      <c r="D66" s="12" t="s">
        <v>15</v>
      </c>
      <c r="F66" s="13">
        <v>85.0</v>
      </c>
      <c r="G66" s="13" t="s">
        <v>32</v>
      </c>
      <c r="H66" s="13" t="s">
        <v>179</v>
      </c>
    </row>
    <row r="67" ht="15.75" customHeight="1">
      <c r="A67" s="14">
        <v>45633.0</v>
      </c>
      <c r="B67" s="8" t="str">
        <f t="shared" si="2"/>
        <v>Dec-24</v>
      </c>
      <c r="D67" s="12" t="s">
        <v>11</v>
      </c>
      <c r="E67" s="13">
        <v>266.0</v>
      </c>
      <c r="G67" s="13" t="s">
        <v>23</v>
      </c>
    </row>
    <row r="68" ht="15.75" customHeight="1">
      <c r="A68" s="14">
        <v>45633.0</v>
      </c>
      <c r="B68" s="8" t="str">
        <f t="shared" si="2"/>
        <v>Dec-24</v>
      </c>
      <c r="D68" s="12" t="s">
        <v>14</v>
      </c>
      <c r="E68" s="13">
        <v>561.0</v>
      </c>
      <c r="G68" s="13" t="s">
        <v>23</v>
      </c>
    </row>
    <row r="69" ht="15.75" customHeight="1">
      <c r="A69" s="14">
        <v>45633.0</v>
      </c>
      <c r="B69" s="8" t="str">
        <f t="shared" si="2"/>
        <v>Dec-24</v>
      </c>
      <c r="D69" s="12" t="s">
        <v>15</v>
      </c>
      <c r="E69" s="13">
        <v>85.0</v>
      </c>
      <c r="G69" s="13" t="s">
        <v>23</v>
      </c>
    </row>
    <row r="70" ht="15.75" customHeight="1">
      <c r="A70" s="14">
        <v>45633.0</v>
      </c>
      <c r="B70" s="8" t="str">
        <f t="shared" si="2"/>
        <v>Dec-24</v>
      </c>
      <c r="D70" s="12" t="s">
        <v>24</v>
      </c>
      <c r="E70" s="13">
        <v>69.0</v>
      </c>
      <c r="G70" s="13" t="s">
        <v>23</v>
      </c>
    </row>
    <row r="71" ht="15.75" customHeight="1">
      <c r="A71" s="14">
        <v>45635.0</v>
      </c>
      <c r="B71" s="8" t="str">
        <f t="shared" si="2"/>
        <v>Dec-24</v>
      </c>
      <c r="D71" s="12" t="s">
        <v>14</v>
      </c>
      <c r="F71" s="13">
        <v>144.0</v>
      </c>
      <c r="G71" s="13" t="s">
        <v>32</v>
      </c>
      <c r="I71" s="13">
        <v>29.0</v>
      </c>
      <c r="J71" s="22">
        <v>45635.0</v>
      </c>
      <c r="K71" s="13" t="s">
        <v>171</v>
      </c>
    </row>
    <row r="72" ht="15.75" customHeight="1">
      <c r="A72" s="14">
        <v>45635.0</v>
      </c>
      <c r="B72" s="8" t="str">
        <f t="shared" si="2"/>
        <v>Dec-24</v>
      </c>
      <c r="D72" s="12" t="s">
        <v>31</v>
      </c>
      <c r="F72" s="13">
        <v>153.0</v>
      </c>
      <c r="G72" s="13" t="s">
        <v>32</v>
      </c>
    </row>
    <row r="73" ht="15.75" customHeight="1">
      <c r="A73" s="14">
        <v>45635.0</v>
      </c>
      <c r="B73" s="8" t="str">
        <f t="shared" si="2"/>
        <v>Dec-24</v>
      </c>
      <c r="D73" s="12" t="s">
        <v>15</v>
      </c>
      <c r="F73" s="13">
        <v>19.0</v>
      </c>
      <c r="G73" s="13" t="s">
        <v>32</v>
      </c>
    </row>
    <row r="74" ht="15.75" customHeight="1">
      <c r="A74" s="14">
        <v>45635.0</v>
      </c>
      <c r="B74" s="8" t="str">
        <f t="shared" si="2"/>
        <v>Dec-24</v>
      </c>
      <c r="D74" s="12" t="s">
        <v>14</v>
      </c>
      <c r="E74" s="13">
        <v>144.0</v>
      </c>
      <c r="G74" s="13" t="s">
        <v>49</v>
      </c>
    </row>
    <row r="75" ht="15.75" customHeight="1">
      <c r="A75" s="14">
        <v>45635.0</v>
      </c>
      <c r="B75" s="8" t="str">
        <f t="shared" si="2"/>
        <v>Dec-24</v>
      </c>
      <c r="D75" s="12" t="s">
        <v>15</v>
      </c>
      <c r="E75" s="13">
        <v>18.0</v>
      </c>
      <c r="G75" s="13" t="s">
        <v>49</v>
      </c>
    </row>
    <row r="76" ht="15.75" customHeight="1">
      <c r="A76" s="14">
        <v>45635.0</v>
      </c>
      <c r="B76" s="8" t="str">
        <f t="shared" si="2"/>
        <v>Dec-24</v>
      </c>
      <c r="D76" s="12" t="s">
        <v>24</v>
      </c>
      <c r="E76" s="13">
        <v>1.0</v>
      </c>
      <c r="G76" s="13" t="s">
        <v>49</v>
      </c>
    </row>
    <row r="77" ht="15.75" customHeight="1">
      <c r="A77" s="14">
        <v>45635.0</v>
      </c>
      <c r="B77" s="8" t="str">
        <f t="shared" si="2"/>
        <v>Dec-24</v>
      </c>
      <c r="D77" s="12" t="s">
        <v>31</v>
      </c>
      <c r="E77" s="13">
        <v>154.0</v>
      </c>
      <c r="G77" s="13" t="s">
        <v>49</v>
      </c>
    </row>
    <row r="78" ht="15.75" customHeight="1">
      <c r="A78" s="14">
        <v>45642.0</v>
      </c>
      <c r="B78" s="8" t="str">
        <f t="shared" si="2"/>
        <v>Dec-24</v>
      </c>
      <c r="D78" s="12" t="s">
        <v>14</v>
      </c>
      <c r="E78" s="13">
        <v>1190.0</v>
      </c>
      <c r="G78" s="13" t="s">
        <v>37</v>
      </c>
      <c r="H78" s="13" t="s">
        <v>180</v>
      </c>
    </row>
    <row r="79" ht="15.75" customHeight="1">
      <c r="A79" s="14">
        <v>45642.0</v>
      </c>
      <c r="B79" s="8" t="str">
        <f t="shared" si="2"/>
        <v>Dec-24</v>
      </c>
      <c r="D79" s="12" t="s">
        <v>14</v>
      </c>
      <c r="G79" s="13" t="s">
        <v>12</v>
      </c>
      <c r="H79" s="13" t="s">
        <v>181</v>
      </c>
    </row>
    <row r="80" ht="15.75" customHeight="1">
      <c r="A80" s="14">
        <v>45652.0</v>
      </c>
      <c r="B80" s="8" t="str">
        <f t="shared" si="2"/>
        <v>Dec-24</v>
      </c>
      <c r="D80" s="12" t="s">
        <v>14</v>
      </c>
      <c r="E80" s="13"/>
      <c r="F80" s="13">
        <v>526.0</v>
      </c>
      <c r="G80" s="13" t="s">
        <v>37</v>
      </c>
    </row>
    <row r="81" ht="15.75" customHeight="1">
      <c r="A81" s="14">
        <v>45652.0</v>
      </c>
      <c r="B81" s="8" t="str">
        <f t="shared" si="2"/>
        <v>Dec-24</v>
      </c>
      <c r="D81" s="12" t="s">
        <v>11</v>
      </c>
      <c r="F81" s="13">
        <v>540.0</v>
      </c>
      <c r="G81" s="13" t="s">
        <v>53</v>
      </c>
    </row>
    <row r="82" ht="15.75" customHeight="1">
      <c r="A82" s="14">
        <v>45652.0</v>
      </c>
      <c r="B82" s="8" t="str">
        <f t="shared" si="2"/>
        <v>Dec-24</v>
      </c>
      <c r="D82" s="12" t="s">
        <v>17</v>
      </c>
      <c r="G82" s="13" t="s">
        <v>23</v>
      </c>
      <c r="H82" s="13" t="s">
        <v>182</v>
      </c>
    </row>
    <row r="83" ht="15.75" customHeight="1">
      <c r="A83" s="14">
        <v>45653.0</v>
      </c>
      <c r="B83" s="8" t="str">
        <f t="shared" si="2"/>
        <v>Dec-24</v>
      </c>
      <c r="D83" s="12" t="s">
        <v>14</v>
      </c>
      <c r="F83" s="13">
        <v>154.0</v>
      </c>
      <c r="G83" s="13" t="s">
        <v>49</v>
      </c>
    </row>
    <row r="84" ht="15.75" customHeight="1">
      <c r="A84" s="14">
        <v>45653.0</v>
      </c>
      <c r="B84" s="8" t="str">
        <f t="shared" si="2"/>
        <v>Dec-24</v>
      </c>
      <c r="D84" s="12" t="s">
        <v>31</v>
      </c>
      <c r="F84" s="13">
        <v>135.0</v>
      </c>
      <c r="G84" s="13" t="s">
        <v>49</v>
      </c>
    </row>
    <row r="85" ht="15.75" customHeight="1">
      <c r="A85" s="14">
        <v>45653.0</v>
      </c>
      <c r="B85" s="8" t="str">
        <f t="shared" si="2"/>
        <v>Dec-24</v>
      </c>
      <c r="D85" s="12" t="s">
        <v>17</v>
      </c>
      <c r="F85" s="13">
        <v>400.0</v>
      </c>
      <c r="G85" s="13" t="s">
        <v>37</v>
      </c>
    </row>
    <row r="86" ht="15.75" customHeight="1">
      <c r="A86" s="14">
        <v>45653.0</v>
      </c>
      <c r="B86" s="8" t="str">
        <f t="shared" si="2"/>
        <v>Dec-24</v>
      </c>
      <c r="D86" s="12" t="s">
        <v>14</v>
      </c>
      <c r="E86" s="13">
        <v>154.0</v>
      </c>
      <c r="G86" s="13" t="s">
        <v>37</v>
      </c>
    </row>
    <row r="87" ht="15.75" customHeight="1">
      <c r="A87" s="14">
        <v>45653.0</v>
      </c>
      <c r="B87" s="8" t="str">
        <f t="shared" ref="B87:B88" si="3">TEXT(A87,"mmm-yy")</f>
        <v>Dec-24</v>
      </c>
      <c r="D87" s="12" t="s">
        <v>31</v>
      </c>
      <c r="E87" s="13">
        <v>135.0</v>
      </c>
      <c r="G87" s="13" t="s">
        <v>37</v>
      </c>
    </row>
    <row r="88" ht="15.75" customHeight="1">
      <c r="A88" s="14">
        <v>45660.0</v>
      </c>
      <c r="B88" s="8" t="str">
        <f t="shared" si="3"/>
        <v>Jan-25</v>
      </c>
      <c r="D88" s="12" t="s">
        <v>17</v>
      </c>
      <c r="G88" s="13" t="s">
        <v>12</v>
      </c>
      <c r="H88" s="13" t="s">
        <v>183</v>
      </c>
      <c r="I88" s="13">
        <v>30.0</v>
      </c>
      <c r="J88" s="22">
        <v>45654.0</v>
      </c>
      <c r="K88" s="13" t="s">
        <v>171</v>
      </c>
    </row>
    <row r="89" ht="15.75" customHeight="1">
      <c r="A89" s="14">
        <v>45660.0</v>
      </c>
      <c r="B89" s="8" t="str">
        <f t="shared" ref="B89:B153" si="4">TEXT(A88,"mmm-yy")</f>
        <v>Jan-25</v>
      </c>
      <c r="D89" s="12" t="s">
        <v>17</v>
      </c>
      <c r="G89" s="13" t="s">
        <v>23</v>
      </c>
      <c r="H89" s="13" t="s">
        <v>184</v>
      </c>
    </row>
    <row r="90" ht="15.75" customHeight="1">
      <c r="A90" s="14">
        <v>45660.0</v>
      </c>
      <c r="B90" s="8" t="str">
        <f t="shared" si="4"/>
        <v>Jan-25</v>
      </c>
      <c r="D90" s="12" t="s">
        <v>17</v>
      </c>
      <c r="G90" s="13" t="s">
        <v>49</v>
      </c>
      <c r="H90" s="13" t="s">
        <v>185</v>
      </c>
    </row>
    <row r="91" ht="15.75" customHeight="1">
      <c r="A91" s="14">
        <v>45661.0</v>
      </c>
      <c r="B91" s="8" t="str">
        <f t="shared" si="4"/>
        <v>Jan-25</v>
      </c>
      <c r="D91" s="12" t="s">
        <v>31</v>
      </c>
      <c r="E91" s="13">
        <v>166.0</v>
      </c>
      <c r="G91" s="13" t="s">
        <v>53</v>
      </c>
    </row>
    <row r="92" ht="15.75" customHeight="1">
      <c r="A92" s="14">
        <v>45661.0</v>
      </c>
      <c r="B92" s="8" t="str">
        <f t="shared" si="4"/>
        <v>Jan-25</v>
      </c>
      <c r="C92" s="13" t="s">
        <v>40</v>
      </c>
      <c r="D92" s="12"/>
      <c r="G92" s="13" t="s">
        <v>53</v>
      </c>
      <c r="H92" s="13" t="s">
        <v>186</v>
      </c>
    </row>
    <row r="93" ht="15.75" customHeight="1">
      <c r="A93" s="14">
        <v>45661.0</v>
      </c>
      <c r="B93" s="8" t="str">
        <f t="shared" si="4"/>
        <v>Jan-25</v>
      </c>
      <c r="C93" s="13" t="s">
        <v>40</v>
      </c>
      <c r="D93" s="12"/>
      <c r="G93" s="13" t="s">
        <v>53</v>
      </c>
      <c r="H93" s="13" t="s">
        <v>187</v>
      </c>
    </row>
    <row r="94" ht="15.75" customHeight="1">
      <c r="A94" s="14">
        <v>45661.0</v>
      </c>
      <c r="B94" s="8" t="str">
        <f t="shared" si="4"/>
        <v>Jan-25</v>
      </c>
      <c r="C94" s="13" t="s">
        <v>40</v>
      </c>
      <c r="D94" s="12"/>
      <c r="G94" s="13" t="s">
        <v>53</v>
      </c>
    </row>
    <row r="95" ht="15.75" customHeight="1">
      <c r="A95" s="14">
        <v>45661.0</v>
      </c>
      <c r="B95" s="8" t="str">
        <f t="shared" si="4"/>
        <v>Jan-25</v>
      </c>
      <c r="D95" s="12"/>
      <c r="G95" s="13" t="s">
        <v>23</v>
      </c>
      <c r="H95" s="13" t="s">
        <v>188</v>
      </c>
    </row>
    <row r="96" ht="15.75" customHeight="1">
      <c r="A96" s="14">
        <v>45664.0</v>
      </c>
      <c r="B96" s="8" t="str">
        <f t="shared" si="4"/>
        <v>Jan-25</v>
      </c>
      <c r="D96" s="12" t="s">
        <v>14</v>
      </c>
      <c r="E96" s="13">
        <v>884.0</v>
      </c>
      <c r="G96" s="13" t="s">
        <v>23</v>
      </c>
      <c r="H96" s="13" t="s">
        <v>189</v>
      </c>
    </row>
    <row r="97" ht="15.75" customHeight="1">
      <c r="A97" s="14">
        <v>45665.0</v>
      </c>
      <c r="B97" s="8" t="str">
        <f t="shared" si="4"/>
        <v>Jan-25</v>
      </c>
      <c r="D97" s="12" t="s">
        <v>11</v>
      </c>
      <c r="F97" s="13">
        <v>224.0</v>
      </c>
      <c r="G97" s="13" t="s">
        <v>23</v>
      </c>
      <c r="H97" s="13" t="s">
        <v>190</v>
      </c>
    </row>
    <row r="98" ht="15.75" customHeight="1">
      <c r="A98" s="14">
        <v>45665.0</v>
      </c>
      <c r="B98" s="8" t="str">
        <f t="shared" si="4"/>
        <v>Jan-25</v>
      </c>
      <c r="D98" s="12" t="s">
        <v>14</v>
      </c>
      <c r="F98" s="13">
        <v>184.0</v>
      </c>
      <c r="G98" s="13" t="s">
        <v>23</v>
      </c>
    </row>
    <row r="99" ht="15.75" customHeight="1">
      <c r="A99" s="14">
        <v>45665.0</v>
      </c>
      <c r="B99" s="8" t="str">
        <f t="shared" si="4"/>
        <v>Jan-25</v>
      </c>
      <c r="D99" s="12" t="s">
        <v>17</v>
      </c>
      <c r="F99" s="13">
        <v>408.0</v>
      </c>
      <c r="G99" s="13" t="s">
        <v>37</v>
      </c>
      <c r="I99" s="13">
        <v>31.0</v>
      </c>
      <c r="J99" s="17">
        <v>45665.0</v>
      </c>
      <c r="K99" s="13" t="s">
        <v>191</v>
      </c>
    </row>
    <row r="100" ht="15.75" customHeight="1">
      <c r="A100" s="14">
        <v>45666.0</v>
      </c>
      <c r="B100" s="8" t="str">
        <f t="shared" si="4"/>
        <v>Jan-25</v>
      </c>
      <c r="D100" s="12" t="s">
        <v>17</v>
      </c>
      <c r="G100" s="13" t="s">
        <v>23</v>
      </c>
      <c r="H100" s="13" t="s">
        <v>192</v>
      </c>
    </row>
    <row r="101" ht="15.75" customHeight="1">
      <c r="A101" s="14">
        <v>45666.0</v>
      </c>
      <c r="B101" s="8" t="str">
        <f t="shared" si="4"/>
        <v>Jan-25</v>
      </c>
      <c r="D101" s="12" t="s">
        <v>14</v>
      </c>
      <c r="F101" s="13">
        <v>82.0</v>
      </c>
      <c r="G101" s="13" t="s">
        <v>23</v>
      </c>
      <c r="H101" s="13" t="s">
        <v>193</v>
      </c>
    </row>
    <row r="102" ht="15.75" customHeight="1">
      <c r="A102" s="14">
        <v>45666.0</v>
      </c>
      <c r="B102" s="8" t="str">
        <f t="shared" si="4"/>
        <v>Jan-25</v>
      </c>
      <c r="D102" s="12" t="s">
        <v>24</v>
      </c>
      <c r="F102" s="13">
        <v>107.0</v>
      </c>
      <c r="G102" s="13" t="s">
        <v>23</v>
      </c>
      <c r="H102" s="13" t="s">
        <v>194</v>
      </c>
    </row>
    <row r="103" ht="15.75" customHeight="1">
      <c r="A103" s="14">
        <v>45667.0</v>
      </c>
      <c r="B103" s="8" t="str">
        <f t="shared" si="4"/>
        <v>Jan-25</v>
      </c>
      <c r="D103" s="12" t="s">
        <v>17</v>
      </c>
      <c r="G103" s="13" t="s">
        <v>23</v>
      </c>
      <c r="H103" s="13" t="s">
        <v>195</v>
      </c>
    </row>
    <row r="104" ht="15.75" customHeight="1">
      <c r="A104" s="14">
        <v>45668.0</v>
      </c>
      <c r="B104" s="8" t="str">
        <f t="shared" si="4"/>
        <v>Jan-25</v>
      </c>
      <c r="D104" s="12" t="s">
        <v>14</v>
      </c>
      <c r="F104" s="13">
        <v>184.0</v>
      </c>
      <c r="G104" s="13" t="s">
        <v>23</v>
      </c>
    </row>
    <row r="105" ht="15.75" customHeight="1">
      <c r="A105" s="14">
        <v>45668.0</v>
      </c>
      <c r="B105" s="8" t="str">
        <f t="shared" si="4"/>
        <v>Jan-25</v>
      </c>
      <c r="D105" s="12" t="s">
        <v>17</v>
      </c>
      <c r="G105" s="13" t="s">
        <v>23</v>
      </c>
      <c r="H105" s="13" t="s">
        <v>196</v>
      </c>
    </row>
    <row r="106" ht="15.75" customHeight="1">
      <c r="A106" s="14">
        <v>45668.0</v>
      </c>
      <c r="B106" s="8" t="str">
        <f t="shared" si="4"/>
        <v>Jan-25</v>
      </c>
      <c r="D106" s="12" t="s">
        <v>24</v>
      </c>
      <c r="F106" s="13">
        <v>21.0</v>
      </c>
      <c r="G106" s="13" t="s">
        <v>23</v>
      </c>
    </row>
    <row r="107" ht="15.75" customHeight="1">
      <c r="A107" s="14">
        <v>45668.0</v>
      </c>
      <c r="B107" s="8" t="str">
        <f t="shared" si="4"/>
        <v>Jan-25</v>
      </c>
      <c r="D107" s="12" t="s">
        <v>15</v>
      </c>
      <c r="F107" s="13">
        <v>25.0</v>
      </c>
      <c r="G107" s="13" t="s">
        <v>23</v>
      </c>
    </row>
    <row r="108" ht="15.75" customHeight="1">
      <c r="A108" s="14">
        <v>45668.0</v>
      </c>
      <c r="B108" s="8" t="str">
        <f t="shared" si="4"/>
        <v>Jan-25</v>
      </c>
      <c r="D108" s="12" t="s">
        <v>17</v>
      </c>
      <c r="G108" s="13" t="s">
        <v>23</v>
      </c>
      <c r="H108" s="13" t="s">
        <v>197</v>
      </c>
    </row>
    <row r="109" ht="15.75" customHeight="1">
      <c r="A109" s="14">
        <v>45670.0</v>
      </c>
      <c r="B109" s="8" t="str">
        <f t="shared" si="4"/>
        <v>Jan-25</v>
      </c>
      <c r="D109" s="12" t="s">
        <v>17</v>
      </c>
      <c r="G109" s="13" t="s">
        <v>23</v>
      </c>
      <c r="H109" s="13" t="s">
        <v>198</v>
      </c>
    </row>
    <row r="110" ht="15.75" customHeight="1">
      <c r="A110" s="14">
        <v>45670.0</v>
      </c>
      <c r="B110" s="8" t="str">
        <f t="shared" si="4"/>
        <v>Jan-25</v>
      </c>
      <c r="D110" s="12" t="s">
        <v>31</v>
      </c>
      <c r="F110" s="13">
        <v>247.0</v>
      </c>
      <c r="G110" s="13" t="s">
        <v>46</v>
      </c>
      <c r="H110" s="13" t="s">
        <v>199</v>
      </c>
    </row>
    <row r="111" ht="15.75" customHeight="1">
      <c r="A111" s="14">
        <v>45670.0</v>
      </c>
      <c r="B111" s="8" t="str">
        <f t="shared" si="4"/>
        <v>Jan-25</v>
      </c>
      <c r="D111" s="12" t="s">
        <v>15</v>
      </c>
      <c r="F111" s="13">
        <v>59.0</v>
      </c>
      <c r="G111" s="13" t="s">
        <v>46</v>
      </c>
      <c r="H111" s="13" t="s">
        <v>199</v>
      </c>
    </row>
    <row r="112" ht="15.75" customHeight="1">
      <c r="A112" s="14">
        <v>45671.0</v>
      </c>
      <c r="B112" s="8" t="str">
        <f t="shared" si="4"/>
        <v>Jan-25</v>
      </c>
      <c r="D112" s="12" t="s">
        <v>11</v>
      </c>
      <c r="E112" s="13">
        <v>46.0</v>
      </c>
      <c r="G112" s="13" t="s">
        <v>23</v>
      </c>
    </row>
    <row r="113" ht="15.75" customHeight="1">
      <c r="A113" s="14">
        <v>45671.0</v>
      </c>
      <c r="B113" s="8" t="str">
        <f t="shared" si="4"/>
        <v>Jan-25</v>
      </c>
      <c r="D113" s="12" t="s">
        <v>17</v>
      </c>
      <c r="F113" s="13">
        <v>380.0</v>
      </c>
      <c r="G113" s="13" t="s">
        <v>22</v>
      </c>
      <c r="H113" s="13" t="s">
        <v>200</v>
      </c>
    </row>
    <row r="114" ht="15.75" customHeight="1">
      <c r="A114" s="14">
        <v>45672.0</v>
      </c>
      <c r="B114" s="8" t="str">
        <f t="shared" si="4"/>
        <v>Jan-25</v>
      </c>
      <c r="D114" s="12" t="s">
        <v>14</v>
      </c>
      <c r="F114" s="13">
        <v>205.0</v>
      </c>
      <c r="G114" s="13" t="s">
        <v>53</v>
      </c>
    </row>
    <row r="115" ht="15.75" customHeight="1">
      <c r="A115" s="14">
        <v>45673.0</v>
      </c>
      <c r="B115" s="8" t="str">
        <f t="shared" si="4"/>
        <v>Jan-25</v>
      </c>
      <c r="D115" s="12" t="s">
        <v>15</v>
      </c>
      <c r="F115" s="13">
        <v>322.0</v>
      </c>
      <c r="G115" s="13" t="s">
        <v>53</v>
      </c>
      <c r="H115" s="13" t="s">
        <v>201</v>
      </c>
    </row>
    <row r="116" ht="15.75" customHeight="1">
      <c r="A116" s="14">
        <v>45673.0</v>
      </c>
      <c r="B116" s="8" t="str">
        <f t="shared" si="4"/>
        <v>Jan-25</v>
      </c>
      <c r="D116" s="12" t="s">
        <v>14</v>
      </c>
      <c r="F116" s="13">
        <v>678.0</v>
      </c>
      <c r="G116" s="13" t="s">
        <v>53</v>
      </c>
      <c r="H116" s="13" t="s">
        <v>202</v>
      </c>
    </row>
    <row r="117" ht="15.75" customHeight="1">
      <c r="A117" s="14">
        <v>45673.0</v>
      </c>
      <c r="B117" s="8" t="str">
        <f t="shared" si="4"/>
        <v>Jan-25</v>
      </c>
      <c r="D117" s="12" t="s">
        <v>11</v>
      </c>
      <c r="F117" s="13">
        <v>230.0</v>
      </c>
      <c r="G117" s="13" t="s">
        <v>53</v>
      </c>
      <c r="H117" s="13" t="s">
        <v>203</v>
      </c>
    </row>
    <row r="118" ht="15.75" customHeight="1">
      <c r="A118" s="14">
        <v>45673.0</v>
      </c>
      <c r="B118" s="8" t="str">
        <f t="shared" si="4"/>
        <v>Jan-25</v>
      </c>
      <c r="D118" s="12" t="s">
        <v>17</v>
      </c>
      <c r="F118" s="13">
        <v>100.0</v>
      </c>
      <c r="G118" s="13" t="s">
        <v>53</v>
      </c>
      <c r="H118" s="13" t="s">
        <v>204</v>
      </c>
    </row>
    <row r="119" ht="15.75" customHeight="1">
      <c r="A119" s="14">
        <v>45674.0</v>
      </c>
      <c r="B119" s="8" t="str">
        <f t="shared" si="4"/>
        <v>Jan-25</v>
      </c>
      <c r="D119" s="12" t="s">
        <v>11</v>
      </c>
      <c r="E119" s="13">
        <v>336.0</v>
      </c>
      <c r="G119" s="13" t="s">
        <v>53</v>
      </c>
    </row>
    <row r="120" ht="15.75" customHeight="1">
      <c r="A120" s="14">
        <v>45674.0</v>
      </c>
      <c r="B120" s="8" t="str">
        <f t="shared" si="4"/>
        <v>Jan-25</v>
      </c>
      <c r="D120" s="12" t="s">
        <v>11</v>
      </c>
      <c r="F120" s="13">
        <v>566.0</v>
      </c>
      <c r="G120" s="13" t="s">
        <v>23</v>
      </c>
    </row>
    <row r="121" ht="15.75" customHeight="1">
      <c r="A121" s="14">
        <v>45674.0</v>
      </c>
      <c r="B121" s="8" t="str">
        <f t="shared" si="4"/>
        <v>Jan-25</v>
      </c>
      <c r="D121" s="12" t="s">
        <v>17</v>
      </c>
      <c r="G121" s="13" t="s">
        <v>22</v>
      </c>
      <c r="H121" s="13" t="s">
        <v>205</v>
      </c>
    </row>
    <row r="122" ht="15.75" customHeight="1">
      <c r="A122" s="14">
        <v>45674.0</v>
      </c>
      <c r="B122" s="8" t="str">
        <f t="shared" si="4"/>
        <v>Jan-25</v>
      </c>
      <c r="D122" s="12" t="s">
        <v>17</v>
      </c>
      <c r="G122" s="13" t="s">
        <v>23</v>
      </c>
      <c r="H122" s="13" t="s">
        <v>206</v>
      </c>
      <c r="I122" s="13">
        <v>32.0</v>
      </c>
      <c r="J122" s="17">
        <v>45674.0</v>
      </c>
      <c r="K122" s="13" t="s">
        <v>191</v>
      </c>
    </row>
    <row r="123" ht="15.75" customHeight="1">
      <c r="A123" s="14">
        <v>45675.0</v>
      </c>
      <c r="B123" s="8" t="str">
        <f t="shared" si="4"/>
        <v>Jan-25</v>
      </c>
      <c r="D123" s="12" t="s">
        <v>17</v>
      </c>
      <c r="G123" s="13" t="s">
        <v>22</v>
      </c>
      <c r="H123" s="13" t="s">
        <v>207</v>
      </c>
    </row>
    <row r="124" ht="15.75" customHeight="1">
      <c r="A124" s="14">
        <v>45677.0</v>
      </c>
      <c r="B124" s="8" t="str">
        <f t="shared" si="4"/>
        <v>Jan-25</v>
      </c>
      <c r="D124" s="12" t="s">
        <v>17</v>
      </c>
      <c r="G124" s="13" t="s">
        <v>22</v>
      </c>
      <c r="H124" s="13" t="s">
        <v>208</v>
      </c>
    </row>
    <row r="125" ht="15.75" customHeight="1">
      <c r="A125" s="14">
        <v>45677.0</v>
      </c>
      <c r="B125" s="8" t="str">
        <f t="shared" si="4"/>
        <v>Jan-25</v>
      </c>
      <c r="D125" s="12" t="s">
        <v>17</v>
      </c>
      <c r="G125" s="13" t="s">
        <v>22</v>
      </c>
      <c r="H125" s="13" t="s">
        <v>209</v>
      </c>
    </row>
    <row r="126" ht="15.75" customHeight="1">
      <c r="A126" s="14">
        <v>45678.0</v>
      </c>
      <c r="B126" s="8" t="str">
        <f t="shared" si="4"/>
        <v>Jan-25</v>
      </c>
      <c r="D126" s="12" t="s">
        <v>14</v>
      </c>
      <c r="F126" s="13">
        <v>200.0</v>
      </c>
      <c r="G126" s="13" t="s">
        <v>23</v>
      </c>
    </row>
    <row r="127" ht="15.75" customHeight="1">
      <c r="A127" s="14">
        <v>45678.0</v>
      </c>
      <c r="B127" s="8" t="str">
        <f t="shared" si="4"/>
        <v>Jan-25</v>
      </c>
      <c r="D127" s="12" t="s">
        <v>11</v>
      </c>
      <c r="F127" s="13">
        <v>85.0</v>
      </c>
      <c r="G127" s="13" t="s">
        <v>23</v>
      </c>
    </row>
    <row r="128" ht="15.75" customHeight="1">
      <c r="A128" s="14">
        <v>45680.0</v>
      </c>
      <c r="B128" s="8" t="str">
        <f t="shared" si="4"/>
        <v>Jan-25</v>
      </c>
      <c r="D128" s="12" t="s">
        <v>14</v>
      </c>
      <c r="F128" s="13">
        <v>52.0</v>
      </c>
      <c r="G128" s="13" t="s">
        <v>23</v>
      </c>
      <c r="H128" s="13" t="s">
        <v>210</v>
      </c>
    </row>
    <row r="129" ht="15.75" customHeight="1">
      <c r="A129" s="14">
        <v>45682.0</v>
      </c>
      <c r="B129" s="8" t="str">
        <f t="shared" si="4"/>
        <v>Jan-25</v>
      </c>
      <c r="D129" s="12" t="s">
        <v>11</v>
      </c>
      <c r="E129" s="13">
        <v>343.0</v>
      </c>
      <c r="G129" s="13" t="s">
        <v>46</v>
      </c>
      <c r="H129" s="13" t="s">
        <v>122</v>
      </c>
    </row>
    <row r="130" ht="15.75" customHeight="1">
      <c r="A130" s="14">
        <v>45682.0</v>
      </c>
      <c r="B130" s="8" t="str">
        <f t="shared" si="4"/>
        <v>Jan-25</v>
      </c>
      <c r="D130" s="12" t="s">
        <v>14</v>
      </c>
      <c r="F130" s="13">
        <v>400.0</v>
      </c>
      <c r="G130" s="13" t="s">
        <v>23</v>
      </c>
      <c r="H130" s="13" t="s">
        <v>211</v>
      </c>
    </row>
    <row r="131" ht="15.75" customHeight="1">
      <c r="A131" s="14">
        <v>45684.0</v>
      </c>
      <c r="B131" s="8" t="str">
        <f t="shared" si="4"/>
        <v>Jan-25</v>
      </c>
      <c r="D131" s="12" t="s">
        <v>14</v>
      </c>
      <c r="F131" s="13">
        <v>53.0</v>
      </c>
      <c r="G131" s="13" t="s">
        <v>23</v>
      </c>
    </row>
    <row r="132" ht="15.75" customHeight="1">
      <c r="A132" s="14">
        <v>45684.0</v>
      </c>
      <c r="B132" s="8" t="str">
        <f t="shared" si="4"/>
        <v>Jan-25</v>
      </c>
      <c r="D132" s="12" t="s">
        <v>11</v>
      </c>
      <c r="E132" s="13">
        <v>383.0</v>
      </c>
      <c r="G132" s="13" t="s">
        <v>46</v>
      </c>
    </row>
    <row r="133" ht="15.75" customHeight="1">
      <c r="A133" s="14">
        <v>45684.0</v>
      </c>
      <c r="B133" s="8" t="str">
        <f t="shared" si="4"/>
        <v>Jan-25</v>
      </c>
      <c r="D133" s="12" t="s">
        <v>11</v>
      </c>
      <c r="F133" s="13">
        <v>720.0</v>
      </c>
      <c r="G133" s="13" t="s">
        <v>59</v>
      </c>
    </row>
    <row r="134" ht="15.75" customHeight="1">
      <c r="A134" s="14">
        <v>45684.0</v>
      </c>
      <c r="B134" s="8" t="str">
        <f t="shared" si="4"/>
        <v>Jan-25</v>
      </c>
      <c r="D134" s="12" t="s">
        <v>17</v>
      </c>
      <c r="G134" s="13" t="s">
        <v>23</v>
      </c>
      <c r="H134" s="13" t="s">
        <v>212</v>
      </c>
    </row>
    <row r="135" ht="15.75" customHeight="1">
      <c r="A135" s="14">
        <v>45686.0</v>
      </c>
      <c r="B135" s="8" t="str">
        <f t="shared" si="4"/>
        <v>Jan-25</v>
      </c>
      <c r="D135" s="12" t="s">
        <v>17</v>
      </c>
      <c r="G135" s="13" t="s">
        <v>46</v>
      </c>
      <c r="H135" s="13" t="s">
        <v>213</v>
      </c>
    </row>
    <row r="136" ht="15.75" customHeight="1">
      <c r="A136" s="14">
        <v>45687.0</v>
      </c>
      <c r="B136" s="8" t="str">
        <f t="shared" si="4"/>
        <v>Jan-25</v>
      </c>
      <c r="D136" s="12" t="s">
        <v>17</v>
      </c>
      <c r="F136" s="13">
        <v>288.0</v>
      </c>
      <c r="G136" s="13" t="s">
        <v>53</v>
      </c>
      <c r="H136" s="13" t="s">
        <v>214</v>
      </c>
    </row>
    <row r="137" ht="15.75" customHeight="1">
      <c r="A137" s="14">
        <v>45688.0</v>
      </c>
      <c r="B137" s="8" t="str">
        <f t="shared" si="4"/>
        <v>Jan-25</v>
      </c>
      <c r="D137" s="12" t="s">
        <v>17</v>
      </c>
      <c r="G137" s="13" t="s">
        <v>53</v>
      </c>
      <c r="H137" s="13" t="s">
        <v>215</v>
      </c>
    </row>
    <row r="138" ht="15.75" customHeight="1">
      <c r="A138" s="14">
        <v>45689.0</v>
      </c>
      <c r="B138" s="8" t="str">
        <f t="shared" si="4"/>
        <v>Jan-25</v>
      </c>
      <c r="D138" s="12" t="s">
        <v>17</v>
      </c>
      <c r="G138" s="13" t="s">
        <v>53</v>
      </c>
      <c r="H138" s="13" t="s">
        <v>216</v>
      </c>
    </row>
    <row r="139" ht="15.75" customHeight="1">
      <c r="A139" s="14">
        <v>45691.0</v>
      </c>
      <c r="B139" s="8" t="str">
        <f t="shared" si="4"/>
        <v>Feb-25</v>
      </c>
      <c r="D139" s="12" t="s">
        <v>17</v>
      </c>
      <c r="F139" s="13">
        <v>488.0</v>
      </c>
      <c r="G139" s="13" t="s">
        <v>22</v>
      </c>
      <c r="H139" s="13" t="s">
        <v>217</v>
      </c>
    </row>
    <row r="140" ht="15.75" customHeight="1">
      <c r="A140" s="14">
        <v>45692.0</v>
      </c>
      <c r="B140" s="8" t="str">
        <f t="shared" si="4"/>
        <v>Feb-25</v>
      </c>
      <c r="D140" s="12" t="s">
        <v>17</v>
      </c>
      <c r="G140" s="13" t="s">
        <v>23</v>
      </c>
      <c r="H140" s="13" t="s">
        <v>218</v>
      </c>
    </row>
    <row r="141" ht="15.75" customHeight="1">
      <c r="A141" s="14">
        <v>45696.0</v>
      </c>
      <c r="B141" s="8" t="str">
        <f t="shared" si="4"/>
        <v>Feb-25</v>
      </c>
      <c r="D141" s="12" t="s">
        <v>17</v>
      </c>
      <c r="G141" s="13" t="s">
        <v>59</v>
      </c>
      <c r="H141" s="13" t="s">
        <v>219</v>
      </c>
    </row>
    <row r="142" ht="15.75" customHeight="1">
      <c r="A142" s="14">
        <v>45698.0</v>
      </c>
      <c r="B142" s="8" t="str">
        <f t="shared" si="4"/>
        <v>Feb-25</v>
      </c>
      <c r="D142" s="12" t="s">
        <v>11</v>
      </c>
      <c r="F142" s="13">
        <v>545.0</v>
      </c>
      <c r="G142" s="13" t="s">
        <v>27</v>
      </c>
    </row>
    <row r="143" ht="15.75" customHeight="1">
      <c r="A143" s="14">
        <v>45698.0</v>
      </c>
      <c r="B143" s="8" t="str">
        <f t="shared" si="4"/>
        <v>Feb-25</v>
      </c>
      <c r="D143" s="12" t="s">
        <v>15</v>
      </c>
      <c r="F143" s="13">
        <v>410.0</v>
      </c>
      <c r="G143" s="13" t="s">
        <v>27</v>
      </c>
    </row>
    <row r="144" ht="15.75" customHeight="1">
      <c r="A144" s="14">
        <v>45699.0</v>
      </c>
      <c r="B144" s="8" t="str">
        <f t="shared" si="4"/>
        <v>Feb-25</v>
      </c>
      <c r="D144" s="12" t="s">
        <v>11</v>
      </c>
      <c r="G144" s="13" t="s">
        <v>12</v>
      </c>
      <c r="H144" s="13" t="s">
        <v>220</v>
      </c>
    </row>
    <row r="145" ht="15.75" customHeight="1">
      <c r="A145" s="14">
        <v>45703.0</v>
      </c>
      <c r="B145" s="8" t="str">
        <f t="shared" si="4"/>
        <v>Feb-25</v>
      </c>
      <c r="D145" s="12" t="s">
        <v>11</v>
      </c>
      <c r="F145" s="13">
        <v>727.0</v>
      </c>
      <c r="G145" s="13" t="s">
        <v>22</v>
      </c>
      <c r="H145" s="13" t="s">
        <v>221</v>
      </c>
    </row>
    <row r="146" ht="15.75" customHeight="1">
      <c r="A146" s="14">
        <v>45703.0</v>
      </c>
      <c r="B146" s="8" t="str">
        <f t="shared" si="4"/>
        <v>Feb-25</v>
      </c>
      <c r="D146" s="12" t="s">
        <v>14</v>
      </c>
      <c r="F146" s="13">
        <v>132.0</v>
      </c>
      <c r="G146" s="13" t="s">
        <v>23</v>
      </c>
      <c r="H146" s="13" t="s">
        <v>222</v>
      </c>
    </row>
    <row r="147" ht="15.75" customHeight="1">
      <c r="A147" s="14">
        <v>45705.0</v>
      </c>
      <c r="B147" s="8" t="str">
        <f t="shared" si="4"/>
        <v>Feb-25</v>
      </c>
      <c r="D147" s="12" t="s">
        <v>15</v>
      </c>
      <c r="F147" s="13">
        <v>148.0</v>
      </c>
      <c r="G147" s="13" t="s">
        <v>37</v>
      </c>
    </row>
    <row r="148" ht="15.75" customHeight="1">
      <c r="A148" s="14">
        <v>45705.0</v>
      </c>
      <c r="B148" s="8" t="str">
        <f t="shared" si="4"/>
        <v>Feb-25</v>
      </c>
      <c r="D148" s="12" t="s">
        <v>31</v>
      </c>
      <c r="F148" s="13">
        <v>201.0</v>
      </c>
      <c r="G148" s="13" t="s">
        <v>22</v>
      </c>
    </row>
    <row r="149" ht="15.75" customHeight="1">
      <c r="A149" s="14">
        <v>45705.0</v>
      </c>
      <c r="B149" s="8" t="str">
        <f t="shared" si="4"/>
        <v>Feb-25</v>
      </c>
      <c r="D149" s="12" t="s">
        <v>24</v>
      </c>
      <c r="F149" s="13">
        <v>116.0</v>
      </c>
      <c r="G149" s="13" t="s">
        <v>53</v>
      </c>
    </row>
    <row r="150" ht="15.75" customHeight="1">
      <c r="A150" s="14">
        <v>45705.0</v>
      </c>
      <c r="B150" s="8" t="str">
        <f t="shared" si="4"/>
        <v>Feb-25</v>
      </c>
      <c r="D150" s="12" t="s">
        <v>11</v>
      </c>
      <c r="F150" s="13">
        <v>229.0</v>
      </c>
      <c r="G150" s="13" t="s">
        <v>65</v>
      </c>
    </row>
    <row r="151" ht="15.75" customHeight="1">
      <c r="A151" s="14">
        <v>45708.0</v>
      </c>
      <c r="B151" s="8" t="str">
        <f t="shared" si="4"/>
        <v>Feb-25</v>
      </c>
      <c r="D151" s="12"/>
      <c r="F151" s="13">
        <v>0.0</v>
      </c>
      <c r="G151" s="13" t="s">
        <v>27</v>
      </c>
      <c r="H151" s="13" t="s">
        <v>223</v>
      </c>
    </row>
    <row r="152" ht="15.75" customHeight="1">
      <c r="A152" s="14">
        <v>45709.0</v>
      </c>
      <c r="B152" s="8" t="str">
        <f t="shared" si="4"/>
        <v>Feb-25</v>
      </c>
      <c r="D152" s="12" t="s">
        <v>15</v>
      </c>
      <c r="F152" s="13">
        <v>96.0</v>
      </c>
      <c r="G152" s="13" t="s">
        <v>23</v>
      </c>
    </row>
    <row r="153" ht="15.75" customHeight="1">
      <c r="A153" s="14">
        <v>45713.0</v>
      </c>
      <c r="B153" s="8" t="str">
        <f t="shared" si="4"/>
        <v>Feb-25</v>
      </c>
      <c r="D153" s="12" t="s">
        <v>17</v>
      </c>
      <c r="F153" s="13">
        <v>560.0</v>
      </c>
      <c r="G153" s="13" t="s">
        <v>23</v>
      </c>
      <c r="H153" s="13" t="s">
        <v>224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153">
      <formula1>'Data Validation'!$C$3:$C$20</formula1>
    </dataValidation>
    <dataValidation type="list" allowBlank="1" showErrorMessage="1" sqref="D2:D22 D24:D153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3" width="12.14"/>
    <col customWidth="1" min="4" max="4" width="16.14"/>
    <col customWidth="1" min="5" max="6" width="13.29"/>
    <col customWidth="1" min="7" max="7" width="14.86"/>
    <col customWidth="1" min="8" max="27" width="9.29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96</v>
      </c>
      <c r="F1" s="2" t="s">
        <v>97</v>
      </c>
      <c r="G1" s="1" t="s">
        <v>6</v>
      </c>
    </row>
    <row r="2">
      <c r="A2" s="14">
        <v>45601.0</v>
      </c>
      <c r="B2" s="8" t="str">
        <f t="shared" ref="B2:B97" si="1">TEXT(A2,"mmm-yy")</f>
        <v>Nov-24</v>
      </c>
      <c r="D2" s="12" t="s">
        <v>14</v>
      </c>
      <c r="E2" s="13">
        <v>720.0</v>
      </c>
      <c r="F2" s="13" t="s">
        <v>225</v>
      </c>
      <c r="G2" s="13" t="s">
        <v>12</v>
      </c>
    </row>
    <row r="3">
      <c r="A3" s="14">
        <v>45602.0</v>
      </c>
      <c r="B3" s="8" t="str">
        <f t="shared" si="1"/>
        <v>Nov-24</v>
      </c>
      <c r="D3" s="12" t="s">
        <v>14</v>
      </c>
      <c r="E3" s="13">
        <v>634.0</v>
      </c>
      <c r="F3" s="13" t="s">
        <v>225</v>
      </c>
      <c r="G3" s="13" t="s">
        <v>12</v>
      </c>
    </row>
    <row r="4">
      <c r="A4" s="14">
        <v>45603.0</v>
      </c>
      <c r="B4" s="8" t="str">
        <f t="shared" si="1"/>
        <v>Nov-24</v>
      </c>
      <c r="D4" s="12" t="s">
        <v>14</v>
      </c>
      <c r="E4" s="13">
        <v>584.0</v>
      </c>
      <c r="F4" s="13" t="s">
        <v>225</v>
      </c>
      <c r="G4" s="13" t="s">
        <v>12</v>
      </c>
    </row>
    <row r="5">
      <c r="A5" s="14">
        <v>45604.0</v>
      </c>
      <c r="B5" s="8" t="str">
        <f t="shared" si="1"/>
        <v>Nov-24</v>
      </c>
      <c r="D5" s="12" t="s">
        <v>14</v>
      </c>
      <c r="E5" s="13">
        <v>384.0</v>
      </c>
      <c r="F5" s="13" t="s">
        <v>225</v>
      </c>
      <c r="G5" s="13" t="s">
        <v>12</v>
      </c>
    </row>
    <row r="6">
      <c r="A6" s="14">
        <v>45604.0</v>
      </c>
      <c r="B6" s="8" t="str">
        <f t="shared" si="1"/>
        <v>Nov-24</v>
      </c>
      <c r="D6" s="12" t="s">
        <v>31</v>
      </c>
      <c r="E6" s="13">
        <v>240.0</v>
      </c>
      <c r="F6" s="13" t="s">
        <v>225</v>
      </c>
      <c r="G6" s="13" t="s">
        <v>12</v>
      </c>
    </row>
    <row r="7">
      <c r="A7" s="14">
        <v>45605.0</v>
      </c>
      <c r="B7" s="8" t="str">
        <f t="shared" si="1"/>
        <v>Nov-24</v>
      </c>
      <c r="D7" s="12" t="s">
        <v>14</v>
      </c>
      <c r="E7" s="13">
        <v>523.0</v>
      </c>
      <c r="F7" s="13" t="s">
        <v>225</v>
      </c>
      <c r="G7" s="13" t="s">
        <v>12</v>
      </c>
    </row>
    <row r="8">
      <c r="A8" s="14">
        <v>45605.0</v>
      </c>
      <c r="B8" s="8" t="str">
        <f t="shared" si="1"/>
        <v>Nov-24</v>
      </c>
      <c r="D8" s="12" t="s">
        <v>11</v>
      </c>
      <c r="E8" s="13">
        <v>240.0</v>
      </c>
      <c r="F8" s="13" t="s">
        <v>225</v>
      </c>
      <c r="G8" s="13" t="s">
        <v>12</v>
      </c>
    </row>
    <row r="9">
      <c r="A9" s="14">
        <v>45607.0</v>
      </c>
      <c r="B9" s="8" t="str">
        <f t="shared" si="1"/>
        <v>Nov-24</v>
      </c>
      <c r="D9" s="12" t="s">
        <v>14</v>
      </c>
      <c r="E9" s="13">
        <v>250.0</v>
      </c>
      <c r="F9" s="13" t="s">
        <v>225</v>
      </c>
      <c r="G9" s="13" t="s">
        <v>12</v>
      </c>
    </row>
    <row r="10">
      <c r="A10" s="14">
        <v>45609.0</v>
      </c>
      <c r="B10" s="8" t="str">
        <f t="shared" si="1"/>
        <v>Nov-24</v>
      </c>
      <c r="D10" s="12" t="s">
        <v>31</v>
      </c>
      <c r="E10" s="13">
        <v>227.0</v>
      </c>
      <c r="F10" s="13" t="s">
        <v>225</v>
      </c>
      <c r="G10" s="13" t="s">
        <v>12</v>
      </c>
    </row>
    <row r="11">
      <c r="A11" s="14">
        <v>45609.0</v>
      </c>
      <c r="B11" s="8" t="str">
        <f t="shared" si="1"/>
        <v>Nov-24</v>
      </c>
      <c r="D11" s="12" t="s">
        <v>14</v>
      </c>
      <c r="E11" s="13">
        <v>203.0</v>
      </c>
      <c r="F11" s="13" t="s">
        <v>225</v>
      </c>
      <c r="G11" s="13" t="s">
        <v>12</v>
      </c>
    </row>
    <row r="12">
      <c r="A12" s="14">
        <v>45610.0</v>
      </c>
      <c r="B12" s="8" t="str">
        <f t="shared" si="1"/>
        <v>Nov-24</v>
      </c>
      <c r="D12" s="12" t="s">
        <v>11</v>
      </c>
      <c r="E12" s="13">
        <v>683.0</v>
      </c>
      <c r="F12" s="13" t="s">
        <v>225</v>
      </c>
      <c r="G12" s="13" t="s">
        <v>12</v>
      </c>
    </row>
    <row r="13">
      <c r="A13" s="14">
        <v>45610.0</v>
      </c>
      <c r="B13" s="8" t="str">
        <f t="shared" si="1"/>
        <v>Nov-24</v>
      </c>
      <c r="D13" s="12" t="s">
        <v>31</v>
      </c>
      <c r="E13" s="13">
        <v>480.0</v>
      </c>
      <c r="F13" s="13" t="s">
        <v>225</v>
      </c>
      <c r="G13" s="13" t="s">
        <v>12</v>
      </c>
    </row>
    <row r="14">
      <c r="A14" s="14">
        <v>45610.0</v>
      </c>
      <c r="B14" s="8" t="str">
        <f t="shared" si="1"/>
        <v>Nov-24</v>
      </c>
      <c r="D14" s="12" t="s">
        <v>15</v>
      </c>
      <c r="E14" s="13">
        <v>82.0</v>
      </c>
      <c r="F14" s="13" t="s">
        <v>225</v>
      </c>
      <c r="G14" s="13" t="s">
        <v>12</v>
      </c>
    </row>
    <row r="15">
      <c r="A15" s="14">
        <v>45610.0</v>
      </c>
      <c r="B15" s="8" t="str">
        <f t="shared" si="1"/>
        <v>Nov-24</v>
      </c>
      <c r="D15" s="12" t="s">
        <v>14</v>
      </c>
      <c r="E15" s="13">
        <v>35.0</v>
      </c>
      <c r="F15" s="13" t="s">
        <v>225</v>
      </c>
      <c r="G15" s="13" t="s">
        <v>12</v>
      </c>
    </row>
    <row r="16">
      <c r="A16" s="14">
        <v>45618.0</v>
      </c>
      <c r="B16" s="8" t="str">
        <f t="shared" si="1"/>
        <v>Nov-24</v>
      </c>
      <c r="D16" s="12" t="s">
        <v>14</v>
      </c>
      <c r="E16" s="13">
        <v>271.0</v>
      </c>
      <c r="F16" s="13" t="s">
        <v>225</v>
      </c>
      <c r="G16" s="13" t="s">
        <v>12</v>
      </c>
    </row>
    <row r="17">
      <c r="A17" s="14">
        <v>45618.0</v>
      </c>
      <c r="B17" s="8" t="str">
        <f t="shared" si="1"/>
        <v>Nov-24</v>
      </c>
      <c r="D17" s="12" t="s">
        <v>28</v>
      </c>
      <c r="E17" s="13">
        <v>182.0</v>
      </c>
      <c r="F17" s="13" t="s">
        <v>225</v>
      </c>
      <c r="G17" s="13" t="s">
        <v>12</v>
      </c>
    </row>
    <row r="18">
      <c r="A18" s="14">
        <v>45618.0</v>
      </c>
      <c r="B18" s="8" t="str">
        <f t="shared" si="1"/>
        <v>Nov-24</v>
      </c>
      <c r="D18" s="12" t="s">
        <v>11</v>
      </c>
      <c r="E18" s="13">
        <v>261.0</v>
      </c>
      <c r="F18" s="13" t="s">
        <v>225</v>
      </c>
      <c r="G18" s="13" t="s">
        <v>12</v>
      </c>
    </row>
    <row r="19">
      <c r="A19" s="14">
        <v>45619.0</v>
      </c>
      <c r="B19" s="8" t="str">
        <f t="shared" si="1"/>
        <v>Nov-24</v>
      </c>
      <c r="D19" s="12" t="s">
        <v>14</v>
      </c>
      <c r="E19" s="13">
        <v>118.0</v>
      </c>
      <c r="F19" s="13" t="s">
        <v>225</v>
      </c>
      <c r="G19" s="13" t="s">
        <v>12</v>
      </c>
    </row>
    <row r="20">
      <c r="A20" s="14">
        <v>45622.0</v>
      </c>
      <c r="B20" s="8" t="str">
        <f t="shared" si="1"/>
        <v>Nov-24</v>
      </c>
      <c r="D20" s="12" t="s">
        <v>11</v>
      </c>
      <c r="E20" s="13">
        <v>175.0</v>
      </c>
      <c r="F20" s="13" t="s">
        <v>225</v>
      </c>
      <c r="G20" s="13" t="s">
        <v>12</v>
      </c>
    </row>
    <row r="21" ht="15.75" customHeight="1">
      <c r="A21" s="14">
        <v>45623.0</v>
      </c>
      <c r="B21" s="8" t="str">
        <f t="shared" si="1"/>
        <v>Nov-24</v>
      </c>
      <c r="D21" s="12" t="s">
        <v>14</v>
      </c>
      <c r="E21" s="13">
        <v>471.0</v>
      </c>
      <c r="F21" s="13" t="s">
        <v>225</v>
      </c>
      <c r="G21" s="13" t="s">
        <v>12</v>
      </c>
    </row>
    <row r="22" ht="15.75" customHeight="1">
      <c r="A22" s="14">
        <v>45625.0</v>
      </c>
      <c r="B22" s="8" t="str">
        <f t="shared" si="1"/>
        <v>Nov-24</v>
      </c>
      <c r="D22" s="12" t="s">
        <v>11</v>
      </c>
      <c r="E22" s="13">
        <v>126.0</v>
      </c>
      <c r="F22" s="13" t="s">
        <v>225</v>
      </c>
      <c r="G22" s="13" t="s">
        <v>12</v>
      </c>
    </row>
    <row r="23" ht="15.75" customHeight="1">
      <c r="A23" s="14">
        <v>45625.0</v>
      </c>
      <c r="B23" s="8" t="str">
        <f t="shared" si="1"/>
        <v>Nov-24</v>
      </c>
      <c r="D23" s="12" t="s">
        <v>14</v>
      </c>
      <c r="E23" s="13">
        <v>65.0</v>
      </c>
      <c r="F23" s="13" t="s">
        <v>225</v>
      </c>
      <c r="G23" s="13" t="s">
        <v>12</v>
      </c>
    </row>
    <row r="24" ht="15.75" customHeight="1">
      <c r="A24" s="14">
        <v>45625.0</v>
      </c>
      <c r="B24" s="8" t="str">
        <f t="shared" si="1"/>
        <v>Nov-24</v>
      </c>
      <c r="C24" s="13">
        <v>72.0</v>
      </c>
      <c r="D24" s="12" t="s">
        <v>11</v>
      </c>
      <c r="E24" s="13">
        <v>141.0</v>
      </c>
      <c r="F24" s="13" t="s">
        <v>225</v>
      </c>
      <c r="G24" s="13" t="s">
        <v>12</v>
      </c>
    </row>
    <row r="25" ht="15.75" customHeight="1">
      <c r="A25" s="14">
        <v>45626.0</v>
      </c>
      <c r="B25" s="8" t="str">
        <f t="shared" si="1"/>
        <v>Nov-24</v>
      </c>
      <c r="D25" s="12" t="s">
        <v>14</v>
      </c>
      <c r="E25" s="13">
        <v>580.0</v>
      </c>
      <c r="F25" s="13" t="s">
        <v>225</v>
      </c>
      <c r="G25" s="13" t="s">
        <v>12</v>
      </c>
    </row>
    <row r="26" ht="15.75" customHeight="1">
      <c r="A26" s="14">
        <v>45628.0</v>
      </c>
      <c r="B26" s="8" t="str">
        <f t="shared" si="1"/>
        <v>Dec-24</v>
      </c>
      <c r="C26" s="13">
        <v>73.0</v>
      </c>
      <c r="D26" s="12" t="s">
        <v>11</v>
      </c>
      <c r="E26" s="13">
        <v>126.0</v>
      </c>
      <c r="F26" s="13" t="s">
        <v>225</v>
      </c>
      <c r="G26" s="13" t="s">
        <v>12</v>
      </c>
    </row>
    <row r="27" ht="15.75" customHeight="1">
      <c r="A27" s="14">
        <v>45628.0</v>
      </c>
      <c r="B27" s="8" t="str">
        <f t="shared" si="1"/>
        <v>Dec-24</v>
      </c>
      <c r="C27" s="13">
        <v>73.0</v>
      </c>
      <c r="D27" s="12" t="s">
        <v>14</v>
      </c>
      <c r="E27" s="13">
        <v>160.0</v>
      </c>
      <c r="F27" s="13" t="s">
        <v>225</v>
      </c>
      <c r="G27" s="13" t="s">
        <v>12</v>
      </c>
    </row>
    <row r="28" ht="15.75" customHeight="1">
      <c r="A28" s="14">
        <v>45629.0</v>
      </c>
      <c r="B28" s="8" t="str">
        <f t="shared" si="1"/>
        <v>Dec-24</v>
      </c>
      <c r="D28" s="12" t="s">
        <v>11</v>
      </c>
      <c r="E28" s="13">
        <v>192.0</v>
      </c>
      <c r="F28" s="13" t="s">
        <v>225</v>
      </c>
      <c r="G28" s="13" t="s">
        <v>12</v>
      </c>
    </row>
    <row r="29" ht="15.75" customHeight="1">
      <c r="A29" s="14">
        <v>45630.0</v>
      </c>
      <c r="B29" s="8" t="str">
        <f t="shared" si="1"/>
        <v>Dec-24</v>
      </c>
      <c r="C29" s="13">
        <v>73.0</v>
      </c>
      <c r="D29" s="12" t="s">
        <v>14</v>
      </c>
      <c r="E29" s="13">
        <v>534.0</v>
      </c>
      <c r="F29" s="13" t="s">
        <v>225</v>
      </c>
      <c r="G29" s="13" t="s">
        <v>12</v>
      </c>
    </row>
    <row r="30" ht="15.75" customHeight="1">
      <c r="A30" s="14">
        <v>45633.0</v>
      </c>
      <c r="B30" s="8" t="str">
        <f t="shared" si="1"/>
        <v>Dec-24</v>
      </c>
      <c r="C30" s="13">
        <v>73.0</v>
      </c>
      <c r="D30" s="12" t="s">
        <v>11</v>
      </c>
      <c r="E30" s="13">
        <v>158.0</v>
      </c>
      <c r="F30" s="13" t="s">
        <v>225</v>
      </c>
      <c r="G30" s="13" t="s">
        <v>12</v>
      </c>
    </row>
    <row r="31" ht="15.75" customHeight="1">
      <c r="A31" s="14">
        <v>45633.0</v>
      </c>
      <c r="B31" s="8" t="str">
        <f t="shared" si="1"/>
        <v>Dec-24</v>
      </c>
      <c r="C31" s="13">
        <v>73.0</v>
      </c>
      <c r="D31" s="12" t="s">
        <v>14</v>
      </c>
      <c r="E31" s="13">
        <v>452.0</v>
      </c>
      <c r="F31" s="13" t="s">
        <v>225</v>
      </c>
      <c r="G31" s="13" t="s">
        <v>12</v>
      </c>
    </row>
    <row r="32" ht="15.75" customHeight="1">
      <c r="A32" s="14">
        <v>45633.0</v>
      </c>
      <c r="B32" s="8" t="str">
        <f t="shared" si="1"/>
        <v>Dec-24</v>
      </c>
      <c r="C32" s="13">
        <v>72.0</v>
      </c>
      <c r="D32" s="12" t="s">
        <v>15</v>
      </c>
      <c r="E32" s="13">
        <v>85.0</v>
      </c>
      <c r="F32" s="13" t="s">
        <v>225</v>
      </c>
      <c r="G32" s="13" t="s">
        <v>12</v>
      </c>
    </row>
    <row r="33" ht="15.75" customHeight="1">
      <c r="A33" s="14">
        <v>45633.0</v>
      </c>
      <c r="B33" s="8" t="str">
        <f t="shared" si="1"/>
        <v>Dec-24</v>
      </c>
      <c r="C33" s="13">
        <v>72.0</v>
      </c>
      <c r="D33" s="12" t="s">
        <v>24</v>
      </c>
      <c r="E33" s="13">
        <v>69.0</v>
      </c>
      <c r="F33" s="13" t="s">
        <v>225</v>
      </c>
      <c r="G33" s="13" t="s">
        <v>12</v>
      </c>
    </row>
    <row r="34" ht="15.75" customHeight="1">
      <c r="A34" s="14">
        <v>45635.0</v>
      </c>
      <c r="B34" s="8" t="str">
        <f t="shared" si="1"/>
        <v>Dec-24</v>
      </c>
      <c r="D34" s="12" t="s">
        <v>14</v>
      </c>
      <c r="E34" s="13">
        <v>144.0</v>
      </c>
      <c r="F34" s="13" t="s">
        <v>225</v>
      </c>
      <c r="G34" s="13" t="s">
        <v>12</v>
      </c>
    </row>
    <row r="35" ht="15.75" customHeight="1">
      <c r="A35" s="14">
        <v>45635.0</v>
      </c>
      <c r="B35" s="8" t="str">
        <f t="shared" si="1"/>
        <v>Dec-24</v>
      </c>
      <c r="D35" s="12" t="s">
        <v>15</v>
      </c>
      <c r="E35" s="13">
        <v>18.0</v>
      </c>
      <c r="F35" s="13" t="s">
        <v>225</v>
      </c>
      <c r="G35" s="13" t="s">
        <v>12</v>
      </c>
    </row>
    <row r="36" ht="15.75" customHeight="1">
      <c r="A36" s="14">
        <v>45635.0</v>
      </c>
      <c r="B36" s="8" t="str">
        <f t="shared" si="1"/>
        <v>Dec-24</v>
      </c>
      <c r="D36" s="12" t="s">
        <v>31</v>
      </c>
      <c r="E36" s="13">
        <v>154.0</v>
      </c>
      <c r="F36" s="13" t="s">
        <v>225</v>
      </c>
      <c r="G36" s="13" t="s">
        <v>12</v>
      </c>
    </row>
    <row r="37" ht="15.75" customHeight="1">
      <c r="A37" s="14">
        <v>45640.0</v>
      </c>
      <c r="B37" s="8" t="str">
        <f t="shared" si="1"/>
        <v>Dec-24</v>
      </c>
      <c r="D37" s="12" t="s">
        <v>14</v>
      </c>
      <c r="E37" s="13">
        <v>910.0</v>
      </c>
      <c r="F37" s="13" t="s">
        <v>225</v>
      </c>
      <c r="G37" s="13" t="s">
        <v>12</v>
      </c>
    </row>
    <row r="38" ht="15.75" customHeight="1">
      <c r="A38" s="14">
        <v>45642.0</v>
      </c>
      <c r="B38" s="8" t="str">
        <f t="shared" si="1"/>
        <v>Dec-24</v>
      </c>
      <c r="D38" s="12" t="s">
        <v>14</v>
      </c>
      <c r="E38" s="13">
        <v>305.0</v>
      </c>
      <c r="F38" s="13" t="s">
        <v>225</v>
      </c>
      <c r="G38" s="13" t="s">
        <v>12</v>
      </c>
    </row>
    <row r="39" ht="15.75" customHeight="1">
      <c r="A39" s="14">
        <v>45652.0</v>
      </c>
      <c r="B39" s="8" t="str">
        <f t="shared" si="1"/>
        <v>Dec-24</v>
      </c>
      <c r="D39" s="12" t="s">
        <v>14</v>
      </c>
      <c r="E39" s="13">
        <v>176.0</v>
      </c>
      <c r="F39" s="13" t="s">
        <v>225</v>
      </c>
      <c r="G39" s="13" t="s">
        <v>12</v>
      </c>
    </row>
    <row r="40" ht="15.75" customHeight="1">
      <c r="A40" s="14">
        <v>45653.0</v>
      </c>
      <c r="B40" s="8" t="str">
        <f t="shared" si="1"/>
        <v>Dec-24</v>
      </c>
      <c r="D40" s="12" t="s">
        <v>31</v>
      </c>
      <c r="E40" s="13">
        <v>147.0</v>
      </c>
      <c r="F40" s="13" t="s">
        <v>225</v>
      </c>
      <c r="G40" s="13" t="s">
        <v>12</v>
      </c>
    </row>
    <row r="41" ht="15.75" customHeight="1">
      <c r="A41" s="14">
        <v>45653.0</v>
      </c>
      <c r="B41" s="8" t="str">
        <f t="shared" si="1"/>
        <v>Dec-24</v>
      </c>
      <c r="D41" s="12" t="s">
        <v>14</v>
      </c>
      <c r="E41" s="13">
        <v>158.0</v>
      </c>
      <c r="F41" s="13" t="s">
        <v>225</v>
      </c>
      <c r="G41" s="13" t="s">
        <v>12</v>
      </c>
    </row>
    <row r="42" ht="15.75" customHeight="1">
      <c r="A42" s="14">
        <v>45653.0</v>
      </c>
      <c r="B42" s="8" t="str">
        <f t="shared" si="1"/>
        <v>Dec-24</v>
      </c>
      <c r="D42" s="12" t="s">
        <v>11</v>
      </c>
      <c r="E42" s="13">
        <v>275.0</v>
      </c>
      <c r="F42" s="13" t="s">
        <v>225</v>
      </c>
      <c r="G42" s="13" t="s">
        <v>12</v>
      </c>
    </row>
    <row r="43" ht="15.75" customHeight="1">
      <c r="A43" s="14">
        <v>45654.0</v>
      </c>
      <c r="B43" s="8" t="str">
        <f t="shared" si="1"/>
        <v>Dec-24</v>
      </c>
      <c r="D43" s="12" t="s">
        <v>31</v>
      </c>
      <c r="E43" s="13">
        <v>457.0</v>
      </c>
      <c r="F43" s="13" t="s">
        <v>225</v>
      </c>
      <c r="G43" s="13" t="s">
        <v>12</v>
      </c>
    </row>
    <row r="44" ht="15.75" customHeight="1">
      <c r="A44" s="14">
        <v>45656.0</v>
      </c>
      <c r="B44" s="8" t="str">
        <f t="shared" si="1"/>
        <v>Dec-24</v>
      </c>
      <c r="D44" s="12" t="s">
        <v>11</v>
      </c>
      <c r="E44" s="13">
        <v>407.0</v>
      </c>
      <c r="F44" s="13" t="s">
        <v>225</v>
      </c>
      <c r="G44" s="13" t="s">
        <v>12</v>
      </c>
    </row>
    <row r="45" ht="15.75" customHeight="1">
      <c r="A45" s="14">
        <v>45659.0</v>
      </c>
      <c r="B45" s="8" t="str">
        <f t="shared" si="1"/>
        <v>Jan-25</v>
      </c>
      <c r="C45" s="13" t="s">
        <v>40</v>
      </c>
      <c r="D45" s="12" t="s">
        <v>11</v>
      </c>
      <c r="E45" s="13">
        <v>445.0</v>
      </c>
      <c r="F45" s="13" t="s">
        <v>225</v>
      </c>
      <c r="G45" s="13" t="s">
        <v>12</v>
      </c>
    </row>
    <row r="46" ht="15.75" customHeight="1">
      <c r="A46" s="14">
        <v>45659.0</v>
      </c>
      <c r="B46" s="8" t="str">
        <f t="shared" si="1"/>
        <v>Jan-25</v>
      </c>
      <c r="C46" s="13">
        <v>74.0</v>
      </c>
      <c r="D46" s="12" t="s">
        <v>14</v>
      </c>
      <c r="E46" s="13">
        <v>312.0</v>
      </c>
      <c r="F46" s="13" t="s">
        <v>225</v>
      </c>
      <c r="G46" s="13" t="s">
        <v>12</v>
      </c>
    </row>
    <row r="47" ht="15.75" customHeight="1">
      <c r="A47" s="14">
        <v>45659.0</v>
      </c>
      <c r="B47" s="8" t="str">
        <f t="shared" si="1"/>
        <v>Jan-25</v>
      </c>
      <c r="C47" s="13">
        <v>74.0</v>
      </c>
      <c r="D47" s="12" t="s">
        <v>15</v>
      </c>
      <c r="E47" s="13">
        <v>55.0</v>
      </c>
      <c r="F47" s="13" t="s">
        <v>225</v>
      </c>
      <c r="G47" s="13" t="s">
        <v>12</v>
      </c>
    </row>
    <row r="48" ht="15.75" customHeight="1">
      <c r="A48" s="14">
        <v>45659.0</v>
      </c>
      <c r="B48" s="8" t="str">
        <f t="shared" si="1"/>
        <v>Jan-25</v>
      </c>
      <c r="C48" s="13">
        <v>74.0</v>
      </c>
      <c r="D48" s="12" t="s">
        <v>24</v>
      </c>
      <c r="E48" s="13">
        <v>19.0</v>
      </c>
      <c r="F48" s="13" t="s">
        <v>225</v>
      </c>
      <c r="G48" s="13" t="s">
        <v>12</v>
      </c>
    </row>
    <row r="49" ht="15.75" customHeight="1">
      <c r="A49" s="14">
        <v>45660.0</v>
      </c>
      <c r="B49" s="8" t="str">
        <f t="shared" si="1"/>
        <v>Jan-25</v>
      </c>
      <c r="C49" s="13" t="s">
        <v>40</v>
      </c>
      <c r="D49" s="12" t="s">
        <v>11</v>
      </c>
      <c r="E49" s="13">
        <v>308.0</v>
      </c>
      <c r="F49" s="13" t="s">
        <v>225</v>
      </c>
      <c r="G49" s="13" t="s">
        <v>12</v>
      </c>
    </row>
    <row r="50" ht="15.75" customHeight="1">
      <c r="A50" s="14">
        <v>45660.0</v>
      </c>
      <c r="B50" s="8" t="str">
        <f t="shared" si="1"/>
        <v>Jan-25</v>
      </c>
      <c r="C50" s="13" t="s">
        <v>40</v>
      </c>
      <c r="D50" s="12" t="s">
        <v>31</v>
      </c>
      <c r="E50" s="13">
        <v>166.0</v>
      </c>
      <c r="F50" s="13" t="s">
        <v>225</v>
      </c>
      <c r="G50" s="13" t="s">
        <v>12</v>
      </c>
    </row>
    <row r="51" ht="15.75" customHeight="1">
      <c r="A51" s="14">
        <v>45661.0</v>
      </c>
      <c r="B51" s="8" t="str">
        <f t="shared" si="1"/>
        <v>Jan-25</v>
      </c>
      <c r="D51" s="12" t="s">
        <v>11</v>
      </c>
      <c r="E51" s="13">
        <v>210.0</v>
      </c>
      <c r="F51" s="13" t="s">
        <v>225</v>
      </c>
      <c r="G51" s="13" t="s">
        <v>12</v>
      </c>
    </row>
    <row r="52" ht="15.75" customHeight="1">
      <c r="A52" s="14">
        <v>45665.0</v>
      </c>
      <c r="B52" s="8" t="str">
        <f t="shared" si="1"/>
        <v>Jan-25</v>
      </c>
      <c r="D52" s="12" t="s">
        <v>11</v>
      </c>
      <c r="E52" s="13">
        <v>224.0</v>
      </c>
      <c r="F52" s="13" t="s">
        <v>225</v>
      </c>
      <c r="G52" s="13" t="s">
        <v>12</v>
      </c>
    </row>
    <row r="53" ht="15.75" customHeight="1">
      <c r="A53" s="14">
        <v>45665.0</v>
      </c>
      <c r="B53" s="8" t="str">
        <f t="shared" si="1"/>
        <v>Jan-25</v>
      </c>
      <c r="D53" s="12" t="s">
        <v>14</v>
      </c>
      <c r="E53" s="13">
        <v>184.0</v>
      </c>
      <c r="F53" s="13" t="s">
        <v>225</v>
      </c>
      <c r="G53" s="13" t="s">
        <v>12</v>
      </c>
    </row>
    <row r="54" ht="15.75" customHeight="1">
      <c r="A54" s="14">
        <v>45666.0</v>
      </c>
      <c r="B54" s="8" t="str">
        <f t="shared" si="1"/>
        <v>Jan-25</v>
      </c>
      <c r="D54" s="12" t="s">
        <v>15</v>
      </c>
      <c r="E54" s="13">
        <v>82.0</v>
      </c>
      <c r="F54" s="13" t="s">
        <v>225</v>
      </c>
      <c r="G54" s="13" t="s">
        <v>12</v>
      </c>
    </row>
    <row r="55" ht="15.75" customHeight="1">
      <c r="A55" s="14">
        <v>45666.0</v>
      </c>
      <c r="B55" s="8" t="str">
        <f t="shared" si="1"/>
        <v>Jan-25</v>
      </c>
      <c r="D55" s="12" t="s">
        <v>24</v>
      </c>
      <c r="E55" s="13">
        <v>107.0</v>
      </c>
      <c r="F55" s="13" t="s">
        <v>225</v>
      </c>
      <c r="G55" s="13" t="s">
        <v>12</v>
      </c>
    </row>
    <row r="56" ht="15.75" customHeight="1">
      <c r="A56" s="14">
        <v>45668.0</v>
      </c>
      <c r="B56" s="8" t="str">
        <f t="shared" si="1"/>
        <v>Jan-25</v>
      </c>
      <c r="D56" s="12" t="s">
        <v>14</v>
      </c>
      <c r="E56" s="13">
        <v>185.0</v>
      </c>
      <c r="F56" s="13" t="s">
        <v>225</v>
      </c>
      <c r="G56" s="13" t="s">
        <v>12</v>
      </c>
    </row>
    <row r="57" ht="15.75" customHeight="1">
      <c r="A57" s="14">
        <v>45668.0</v>
      </c>
      <c r="B57" s="8" t="str">
        <f t="shared" si="1"/>
        <v>Jan-25</v>
      </c>
      <c r="D57" s="12" t="s">
        <v>24</v>
      </c>
      <c r="E57" s="13">
        <v>21.0</v>
      </c>
      <c r="F57" s="13" t="s">
        <v>225</v>
      </c>
      <c r="G57" s="13" t="s">
        <v>12</v>
      </c>
    </row>
    <row r="58" ht="15.75" customHeight="1">
      <c r="A58" s="14">
        <v>45668.0</v>
      </c>
      <c r="B58" s="8" t="str">
        <f t="shared" si="1"/>
        <v>Jan-25</v>
      </c>
      <c r="D58" s="12" t="s">
        <v>15</v>
      </c>
      <c r="E58" s="13">
        <v>25.0</v>
      </c>
      <c r="F58" s="13" t="s">
        <v>225</v>
      </c>
      <c r="G58" s="13" t="s">
        <v>12</v>
      </c>
    </row>
    <row r="59" ht="15.75" customHeight="1">
      <c r="A59" s="14">
        <v>45670.0</v>
      </c>
      <c r="B59" s="8" t="str">
        <f t="shared" si="1"/>
        <v>Jan-25</v>
      </c>
      <c r="D59" s="12" t="s">
        <v>31</v>
      </c>
      <c r="E59" s="13">
        <v>247.0</v>
      </c>
      <c r="F59" s="13" t="s">
        <v>225</v>
      </c>
      <c r="G59" s="13" t="s">
        <v>12</v>
      </c>
    </row>
    <row r="60" ht="15.75" customHeight="1">
      <c r="A60" s="14">
        <v>45670.0</v>
      </c>
      <c r="B60" s="8" t="str">
        <f t="shared" si="1"/>
        <v>Jan-25</v>
      </c>
      <c r="D60" s="12" t="s">
        <v>15</v>
      </c>
      <c r="E60" s="13">
        <v>59.0</v>
      </c>
      <c r="F60" s="13" t="s">
        <v>225</v>
      </c>
      <c r="G60" s="13" t="s">
        <v>12</v>
      </c>
    </row>
    <row r="61" ht="15.75" customHeight="1">
      <c r="A61" s="14">
        <v>45672.0</v>
      </c>
      <c r="B61" s="8" t="str">
        <f t="shared" si="1"/>
        <v>Jan-25</v>
      </c>
      <c r="D61" s="12" t="s">
        <v>14</v>
      </c>
      <c r="E61" s="13">
        <v>205.0</v>
      </c>
      <c r="F61" s="13" t="s">
        <v>225</v>
      </c>
      <c r="G61" s="13" t="s">
        <v>12</v>
      </c>
    </row>
    <row r="62" ht="15.75" customHeight="1">
      <c r="A62" s="14">
        <v>45673.0</v>
      </c>
      <c r="B62" s="8" t="str">
        <f t="shared" si="1"/>
        <v>Jan-25</v>
      </c>
      <c r="D62" s="12" t="s">
        <v>31</v>
      </c>
      <c r="E62" s="13">
        <v>205.0</v>
      </c>
      <c r="F62" s="13" t="s">
        <v>225</v>
      </c>
      <c r="G62" s="13" t="s">
        <v>12</v>
      </c>
    </row>
    <row r="63" ht="15.75" customHeight="1">
      <c r="A63" s="14">
        <v>45673.0</v>
      </c>
      <c r="B63" s="8" t="str">
        <f t="shared" si="1"/>
        <v>Jan-25</v>
      </c>
      <c r="D63" s="12" t="s">
        <v>15</v>
      </c>
      <c r="E63" s="13">
        <v>117.0</v>
      </c>
      <c r="F63" s="13" t="s">
        <v>225</v>
      </c>
      <c r="G63" s="13" t="s">
        <v>12</v>
      </c>
    </row>
    <row r="64" ht="15.75" customHeight="1">
      <c r="A64" s="14">
        <v>45673.0</v>
      </c>
      <c r="B64" s="8" t="str">
        <f t="shared" si="1"/>
        <v>Jan-25</v>
      </c>
      <c r="D64" s="12" t="s">
        <v>14</v>
      </c>
      <c r="E64" s="13">
        <v>678.0</v>
      </c>
      <c r="F64" s="13" t="s">
        <v>225</v>
      </c>
      <c r="G64" s="13" t="s">
        <v>12</v>
      </c>
    </row>
    <row r="65" ht="15.75" customHeight="1">
      <c r="A65" s="14">
        <v>45673.0</v>
      </c>
      <c r="B65" s="8" t="str">
        <f t="shared" si="1"/>
        <v>Jan-25</v>
      </c>
      <c r="D65" s="12" t="s">
        <v>11</v>
      </c>
      <c r="E65" s="13">
        <v>379.0</v>
      </c>
      <c r="F65" s="13" t="s">
        <v>225</v>
      </c>
      <c r="G65" s="13" t="s">
        <v>12</v>
      </c>
    </row>
    <row r="66" ht="15.75" customHeight="1">
      <c r="A66" s="14">
        <v>45678.0</v>
      </c>
      <c r="B66" s="8" t="str">
        <f t="shared" si="1"/>
        <v>Jan-25</v>
      </c>
      <c r="D66" s="12" t="s">
        <v>14</v>
      </c>
      <c r="E66" s="13">
        <v>190.0</v>
      </c>
      <c r="F66" s="13" t="s">
        <v>225</v>
      </c>
      <c r="G66" s="13" t="s">
        <v>12</v>
      </c>
    </row>
    <row r="67" ht="15.75" customHeight="1">
      <c r="A67" s="14">
        <v>45678.0</v>
      </c>
      <c r="B67" s="8" t="str">
        <f t="shared" si="1"/>
        <v>Jan-25</v>
      </c>
      <c r="D67" s="12" t="s">
        <v>11</v>
      </c>
      <c r="E67" s="13">
        <v>85.0</v>
      </c>
      <c r="F67" s="13" t="s">
        <v>225</v>
      </c>
      <c r="G67" s="13" t="s">
        <v>12</v>
      </c>
    </row>
    <row r="68" ht="15.75" customHeight="1">
      <c r="A68" s="14">
        <v>45679.0</v>
      </c>
      <c r="B68" s="8" t="str">
        <f t="shared" si="1"/>
        <v>Jan-25</v>
      </c>
      <c r="D68" s="12" t="s">
        <v>15</v>
      </c>
      <c r="E68" s="13">
        <v>67.0</v>
      </c>
      <c r="F68" s="13" t="s">
        <v>225</v>
      </c>
      <c r="G68" s="13" t="s">
        <v>12</v>
      </c>
    </row>
    <row r="69" ht="15.75" customHeight="1">
      <c r="A69" s="14">
        <v>45679.0</v>
      </c>
      <c r="B69" s="8" t="str">
        <f t="shared" si="1"/>
        <v>Jan-25</v>
      </c>
      <c r="D69" s="12" t="s">
        <v>31</v>
      </c>
      <c r="E69" s="13">
        <v>65.0</v>
      </c>
      <c r="F69" s="13" t="s">
        <v>225</v>
      </c>
      <c r="G69" s="13" t="s">
        <v>12</v>
      </c>
    </row>
    <row r="70" ht="15.75" customHeight="1">
      <c r="A70" s="14">
        <v>45679.0</v>
      </c>
      <c r="B70" s="8" t="str">
        <f t="shared" si="1"/>
        <v>Jan-25</v>
      </c>
      <c r="D70" s="12" t="s">
        <v>24</v>
      </c>
      <c r="E70" s="13">
        <v>9.0</v>
      </c>
      <c r="F70" s="13" t="s">
        <v>225</v>
      </c>
      <c r="G70" s="13" t="s">
        <v>12</v>
      </c>
    </row>
    <row r="71" ht="15.75" customHeight="1">
      <c r="A71" s="14">
        <v>45680.0</v>
      </c>
      <c r="B71" s="8" t="str">
        <f t="shared" si="1"/>
        <v>Jan-25</v>
      </c>
      <c r="D71" s="12" t="s">
        <v>24</v>
      </c>
      <c r="E71" s="13">
        <v>70.0</v>
      </c>
      <c r="F71" s="13" t="s">
        <v>225</v>
      </c>
      <c r="G71" s="13" t="s">
        <v>12</v>
      </c>
    </row>
    <row r="72" ht="15.75" customHeight="1">
      <c r="A72" s="14">
        <v>45680.0</v>
      </c>
      <c r="B72" s="8" t="str">
        <f t="shared" si="1"/>
        <v>Jan-25</v>
      </c>
      <c r="D72" s="12" t="s">
        <v>31</v>
      </c>
      <c r="E72" s="13">
        <v>108.0</v>
      </c>
      <c r="F72" s="13" t="s">
        <v>225</v>
      </c>
      <c r="G72" s="13" t="s">
        <v>12</v>
      </c>
    </row>
    <row r="73" ht="15.75" customHeight="1">
      <c r="A73" s="14">
        <v>45680.0</v>
      </c>
      <c r="B73" s="8" t="str">
        <f t="shared" si="1"/>
        <v>Jan-25</v>
      </c>
      <c r="D73" s="12" t="s">
        <v>15</v>
      </c>
      <c r="E73" s="13">
        <v>4.0</v>
      </c>
      <c r="F73" s="13" t="s">
        <v>225</v>
      </c>
      <c r="G73" s="13" t="s">
        <v>12</v>
      </c>
    </row>
    <row r="74" ht="15.75" customHeight="1">
      <c r="A74" s="14">
        <v>45682.0</v>
      </c>
      <c r="B74" s="8" t="str">
        <f t="shared" si="1"/>
        <v>Jan-25</v>
      </c>
      <c r="D74" s="12" t="s">
        <v>14</v>
      </c>
      <c r="E74" s="13">
        <v>400.0</v>
      </c>
      <c r="F74" s="13" t="s">
        <v>225</v>
      </c>
      <c r="G74" s="13" t="s">
        <v>12</v>
      </c>
    </row>
    <row r="75" ht="15.75" customHeight="1">
      <c r="A75" s="14">
        <v>45682.0</v>
      </c>
      <c r="B75" s="8" t="str">
        <f t="shared" si="1"/>
        <v>Jan-25</v>
      </c>
      <c r="D75" s="12" t="s">
        <v>11</v>
      </c>
      <c r="E75" s="13">
        <v>449.0</v>
      </c>
      <c r="F75" s="13" t="s">
        <v>225</v>
      </c>
      <c r="G75" s="13" t="s">
        <v>12</v>
      </c>
    </row>
    <row r="76" ht="15.75" customHeight="1">
      <c r="A76" s="14">
        <v>45684.0</v>
      </c>
      <c r="B76" s="8" t="str">
        <f t="shared" si="1"/>
        <v>Jan-25</v>
      </c>
      <c r="D76" s="12" t="s">
        <v>14</v>
      </c>
      <c r="E76" s="13">
        <v>64.0</v>
      </c>
      <c r="F76" s="13" t="s">
        <v>225</v>
      </c>
      <c r="G76" s="13" t="s">
        <v>12</v>
      </c>
    </row>
    <row r="77" ht="15.75" customHeight="1">
      <c r="A77" s="14">
        <v>45684.0</v>
      </c>
      <c r="B77" s="8" t="str">
        <f t="shared" si="1"/>
        <v>Jan-25</v>
      </c>
      <c r="D77" s="12" t="s">
        <v>11</v>
      </c>
      <c r="E77" s="13">
        <v>174.0</v>
      </c>
      <c r="F77" s="13" t="s">
        <v>225</v>
      </c>
      <c r="G77" s="13" t="s">
        <v>12</v>
      </c>
    </row>
    <row r="78" ht="15.75" customHeight="1">
      <c r="A78" s="14">
        <v>45684.0</v>
      </c>
      <c r="B78" s="8" t="str">
        <f t="shared" si="1"/>
        <v>Jan-25</v>
      </c>
      <c r="D78" s="12" t="s">
        <v>17</v>
      </c>
      <c r="E78" s="13">
        <v>334.0</v>
      </c>
      <c r="F78" s="13" t="s">
        <v>225</v>
      </c>
      <c r="G78" s="13" t="s">
        <v>12</v>
      </c>
    </row>
    <row r="79" ht="15.75" customHeight="1">
      <c r="A79" s="14">
        <v>45693.0</v>
      </c>
      <c r="B79" s="8" t="str">
        <f t="shared" si="1"/>
        <v>Feb-25</v>
      </c>
      <c r="D79" s="12" t="s">
        <v>14</v>
      </c>
      <c r="E79" s="13">
        <v>439.0</v>
      </c>
      <c r="F79" s="13" t="s">
        <v>225</v>
      </c>
      <c r="G79" s="13" t="s">
        <v>12</v>
      </c>
    </row>
    <row r="80" ht="15.75" customHeight="1">
      <c r="A80" s="14">
        <v>45696.0</v>
      </c>
      <c r="B80" s="8" t="str">
        <f t="shared" si="1"/>
        <v>Feb-25</v>
      </c>
      <c r="D80" s="12" t="s">
        <v>14</v>
      </c>
      <c r="E80" s="13">
        <v>215.0</v>
      </c>
      <c r="F80" s="13" t="s">
        <v>225</v>
      </c>
      <c r="G80" s="13" t="s">
        <v>12</v>
      </c>
    </row>
    <row r="81" ht="15.75" customHeight="1">
      <c r="A81" s="14">
        <v>45696.0</v>
      </c>
      <c r="B81" s="8" t="str">
        <f t="shared" si="1"/>
        <v>Feb-25</v>
      </c>
      <c r="D81" s="12" t="s">
        <v>11</v>
      </c>
      <c r="E81" s="13">
        <v>165.0</v>
      </c>
      <c r="F81" s="13" t="s">
        <v>225</v>
      </c>
      <c r="G81" s="13" t="s">
        <v>12</v>
      </c>
    </row>
    <row r="82" ht="15.75" customHeight="1">
      <c r="A82" s="14">
        <v>45698.0</v>
      </c>
      <c r="B82" s="8" t="str">
        <f t="shared" si="1"/>
        <v>Feb-25</v>
      </c>
      <c r="D82" s="12" t="s">
        <v>31</v>
      </c>
      <c r="E82" s="13">
        <v>304.0</v>
      </c>
      <c r="F82" s="13" t="s">
        <v>225</v>
      </c>
      <c r="G82" s="13" t="s">
        <v>12</v>
      </c>
    </row>
    <row r="83" ht="15.75" customHeight="1">
      <c r="A83" s="14">
        <v>45698.0</v>
      </c>
      <c r="B83" s="8" t="str">
        <f t="shared" si="1"/>
        <v>Feb-25</v>
      </c>
      <c r="D83" s="12" t="s">
        <v>11</v>
      </c>
      <c r="E83" s="13">
        <v>375.0</v>
      </c>
      <c r="F83" s="13" t="s">
        <v>225</v>
      </c>
      <c r="G83" s="13" t="s">
        <v>12</v>
      </c>
    </row>
    <row r="84" ht="15.75" customHeight="1">
      <c r="A84" s="14">
        <v>45699.0</v>
      </c>
      <c r="B84" s="8" t="str">
        <f t="shared" si="1"/>
        <v>Feb-25</v>
      </c>
      <c r="D84" s="12" t="s">
        <v>11</v>
      </c>
      <c r="E84" s="13">
        <v>140.0</v>
      </c>
      <c r="F84" s="13" t="s">
        <v>225</v>
      </c>
      <c r="G84" s="13" t="s">
        <v>12</v>
      </c>
    </row>
    <row r="85" ht="15.75" customHeight="1">
      <c r="A85" s="14">
        <v>45702.0</v>
      </c>
      <c r="B85" s="8" t="str">
        <f t="shared" si="1"/>
        <v>Feb-25</v>
      </c>
      <c r="D85" s="12" t="s">
        <v>14</v>
      </c>
      <c r="E85" s="13">
        <v>755.0</v>
      </c>
      <c r="F85" s="13" t="s">
        <v>225</v>
      </c>
      <c r="G85" s="13" t="s">
        <v>12</v>
      </c>
    </row>
    <row r="86" ht="15.75" customHeight="1">
      <c r="A86" s="14">
        <v>45702.0</v>
      </c>
      <c r="B86" s="8" t="str">
        <f t="shared" si="1"/>
        <v>Feb-25</v>
      </c>
      <c r="D86" s="12" t="s">
        <v>11</v>
      </c>
      <c r="E86" s="13">
        <v>320.0</v>
      </c>
      <c r="F86" s="13" t="s">
        <v>225</v>
      </c>
      <c r="G86" s="13" t="s">
        <v>12</v>
      </c>
    </row>
    <row r="87" ht="15.75" customHeight="1">
      <c r="A87" s="14">
        <v>45703.0</v>
      </c>
      <c r="B87" s="8" t="str">
        <f t="shared" si="1"/>
        <v>Feb-25</v>
      </c>
      <c r="D87" s="12" t="s">
        <v>11</v>
      </c>
      <c r="E87" s="13">
        <v>407.0</v>
      </c>
      <c r="F87" s="13" t="s">
        <v>225</v>
      </c>
      <c r="G87" s="13" t="s">
        <v>12</v>
      </c>
    </row>
    <row r="88" ht="15.75" customHeight="1">
      <c r="A88" s="14">
        <v>45703.0</v>
      </c>
      <c r="B88" s="8" t="str">
        <f t="shared" si="1"/>
        <v>Feb-25</v>
      </c>
      <c r="D88" s="12" t="s">
        <v>14</v>
      </c>
      <c r="E88" s="13">
        <v>171.0</v>
      </c>
      <c r="F88" s="13" t="s">
        <v>225</v>
      </c>
      <c r="G88" s="13" t="s">
        <v>12</v>
      </c>
    </row>
    <row r="89" ht="15.75" customHeight="1">
      <c r="A89" s="14">
        <v>45705.0</v>
      </c>
      <c r="B89" s="8" t="str">
        <f t="shared" si="1"/>
        <v>Feb-25</v>
      </c>
      <c r="D89" s="12" t="s">
        <v>31</v>
      </c>
      <c r="E89" s="13">
        <v>202.0</v>
      </c>
      <c r="F89" s="13" t="s">
        <v>225</v>
      </c>
      <c r="G89" s="13" t="s">
        <v>12</v>
      </c>
    </row>
    <row r="90" ht="15.75" customHeight="1">
      <c r="A90" s="14">
        <v>45705.0</v>
      </c>
      <c r="B90" s="8" t="str">
        <f t="shared" si="1"/>
        <v>Feb-25</v>
      </c>
      <c r="D90" s="12" t="s">
        <v>15</v>
      </c>
      <c r="E90" s="13">
        <v>148.0</v>
      </c>
      <c r="F90" s="13" t="s">
        <v>225</v>
      </c>
      <c r="G90" s="13" t="s">
        <v>12</v>
      </c>
    </row>
    <row r="91" ht="15.75" customHeight="1">
      <c r="A91" s="14">
        <v>45705.0</v>
      </c>
      <c r="B91" s="8" t="str">
        <f t="shared" si="1"/>
        <v>Feb-25</v>
      </c>
      <c r="D91" s="12" t="s">
        <v>24</v>
      </c>
      <c r="E91" s="13">
        <v>117.0</v>
      </c>
      <c r="F91" s="13" t="s">
        <v>225</v>
      </c>
      <c r="G91" s="13" t="s">
        <v>12</v>
      </c>
    </row>
    <row r="92" ht="15.75" customHeight="1">
      <c r="A92" s="14">
        <v>45707.0</v>
      </c>
      <c r="B92" s="8" t="str">
        <f t="shared" si="1"/>
        <v>Feb-25</v>
      </c>
      <c r="D92" s="12" t="s">
        <v>14</v>
      </c>
      <c r="E92" s="13">
        <v>284.0</v>
      </c>
      <c r="F92" s="13" t="s">
        <v>225</v>
      </c>
      <c r="G92" s="13" t="s">
        <v>12</v>
      </c>
    </row>
    <row r="93" ht="15.75" customHeight="1">
      <c r="A93" s="14">
        <v>45708.0</v>
      </c>
      <c r="B93" s="8" t="str">
        <f t="shared" si="1"/>
        <v>Feb-25</v>
      </c>
      <c r="D93" s="12" t="s">
        <v>14</v>
      </c>
      <c r="E93" s="13">
        <v>342.0</v>
      </c>
      <c r="F93" s="13" t="s">
        <v>225</v>
      </c>
      <c r="G93" s="13" t="s">
        <v>12</v>
      </c>
    </row>
    <row r="94" ht="15.75" customHeight="1">
      <c r="A94" s="14">
        <v>45708.0</v>
      </c>
      <c r="B94" s="8" t="str">
        <f t="shared" si="1"/>
        <v>Feb-25</v>
      </c>
      <c r="D94" s="12" t="s">
        <v>24</v>
      </c>
      <c r="E94" s="13">
        <v>405.0</v>
      </c>
      <c r="F94" s="13" t="s">
        <v>225</v>
      </c>
      <c r="G94" s="13" t="s">
        <v>12</v>
      </c>
    </row>
    <row r="95" ht="15.75" customHeight="1">
      <c r="A95" s="14">
        <v>45709.0</v>
      </c>
      <c r="B95" s="8" t="str">
        <f t="shared" si="1"/>
        <v>Feb-25</v>
      </c>
      <c r="D95" s="12" t="s">
        <v>24</v>
      </c>
      <c r="E95" s="13">
        <v>208.0</v>
      </c>
      <c r="F95" s="13" t="s">
        <v>225</v>
      </c>
      <c r="G95" s="13" t="s">
        <v>12</v>
      </c>
    </row>
    <row r="96" ht="15.75" customHeight="1">
      <c r="A96" s="14">
        <v>45709.0</v>
      </c>
      <c r="B96" s="8" t="str">
        <f t="shared" si="1"/>
        <v>Feb-25</v>
      </c>
      <c r="D96" s="12" t="s">
        <v>11</v>
      </c>
      <c r="E96" s="13">
        <v>150.0</v>
      </c>
      <c r="F96" s="13" t="s">
        <v>225</v>
      </c>
      <c r="G96" s="13" t="s">
        <v>12</v>
      </c>
    </row>
    <row r="97" ht="15.75" customHeight="1">
      <c r="A97" s="14">
        <v>45710.0</v>
      </c>
      <c r="B97" s="8" t="str">
        <f t="shared" si="1"/>
        <v>Feb-25</v>
      </c>
      <c r="D97" s="12" t="s">
        <v>11</v>
      </c>
      <c r="E97" s="13">
        <v>370.0</v>
      </c>
      <c r="F97" s="13" t="s">
        <v>225</v>
      </c>
      <c r="G97" s="13" t="s">
        <v>12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97">
      <formula1>'Data Validation'!$C$3:$C$20</formula1>
    </dataValidation>
    <dataValidation type="list" allowBlank="1" showErrorMessage="1" sqref="D2:D97">
      <formula1>'Data Validation'!$B$3:$B$15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226</v>
      </c>
      <c r="B1" s="1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3" width="22.29"/>
    <col customWidth="1" min="4" max="26" width="8.71"/>
  </cols>
  <sheetData>
    <row r="2">
      <c r="B2" s="20" t="s">
        <v>4</v>
      </c>
      <c r="C2" s="20" t="s">
        <v>6</v>
      </c>
    </row>
    <row r="3">
      <c r="B3" s="23" t="s">
        <v>24</v>
      </c>
      <c r="C3" s="24" t="s">
        <v>37</v>
      </c>
    </row>
    <row r="4">
      <c r="B4" s="23" t="s">
        <v>30</v>
      </c>
      <c r="C4" s="13" t="s">
        <v>49</v>
      </c>
    </row>
    <row r="5">
      <c r="B5" s="25" t="s">
        <v>228</v>
      </c>
      <c r="C5" s="24" t="s">
        <v>22</v>
      </c>
    </row>
    <row r="6">
      <c r="B6" s="23" t="s">
        <v>17</v>
      </c>
      <c r="C6" s="24" t="s">
        <v>229</v>
      </c>
    </row>
    <row r="7">
      <c r="B7" s="25" t="s">
        <v>230</v>
      </c>
      <c r="C7" s="24" t="s">
        <v>59</v>
      </c>
    </row>
    <row r="8">
      <c r="B8" s="25" t="s">
        <v>231</v>
      </c>
      <c r="C8" s="24" t="s">
        <v>46</v>
      </c>
    </row>
    <row r="9">
      <c r="B9" s="23" t="s">
        <v>15</v>
      </c>
      <c r="C9" s="26" t="s">
        <v>53</v>
      </c>
    </row>
    <row r="10">
      <c r="B10" s="23" t="s">
        <v>31</v>
      </c>
      <c r="C10" s="24" t="s">
        <v>12</v>
      </c>
    </row>
    <row r="11">
      <c r="B11" s="27"/>
      <c r="C11" s="28" t="s">
        <v>58</v>
      </c>
    </row>
    <row r="12">
      <c r="B12" s="27"/>
      <c r="C12" s="24" t="s">
        <v>32</v>
      </c>
    </row>
    <row r="13">
      <c r="B13" s="27"/>
      <c r="C13" s="29" t="s">
        <v>23</v>
      </c>
    </row>
    <row r="14">
      <c r="B14" s="27"/>
      <c r="C14" s="29" t="s">
        <v>27</v>
      </c>
    </row>
    <row r="15">
      <c r="B15" s="27"/>
      <c r="C15" s="29" t="s">
        <v>95</v>
      </c>
    </row>
    <row r="16">
      <c r="C16" s="1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C$16">
    <sortState ref="B2:C16">
      <sortCondition ref="C2:C16"/>
    </sortState>
  </autoFilter>
  <printOptions/>
  <pageMargins bottom="0.75" footer="0.0" header="0.0" left="0.7" right="0.7" top="0.75"/>
  <pageSetup orientation="landscape"/>
  <drawing r:id="rId1"/>
</worksheet>
</file>